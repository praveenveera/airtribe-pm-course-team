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229b1d9c674b61" /></Relationships>
</file>

<file path=xl/workbook.xml><?xml version="1.0" encoding="utf-8"?>
<x:workbook xmlns:x="http://schemas.openxmlformats.org/spreadsheetml/2006/main">
  <x:sheets>
    <x:sheet xmlns:r="http://schemas.openxmlformats.org/officeDocument/2006/relationships" name="Dashboard" sheetId="1" r:id="R4b1909b7125a4f25"/>
    <x:sheet xmlns:r="http://schemas.openxmlformats.org/officeDocument/2006/relationships" name="Participants" sheetId="2" r:id="R1413a9ddd6c14b0a"/>
    <x:sheet xmlns:r="http://schemas.openxmlformats.org/officeDocument/2006/relationships" name="Interview Evidence" sheetId="3" r:id="Rfeebd36e7c56473e"/>
    <x:sheet xmlns:r="http://schemas.openxmlformats.org/officeDocument/2006/relationships" name="Synthesis" sheetId="4" r:id="Rfd88b2471ed84b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18324A"/>
      <x:name val="Arial"/>
    </x:font>
    <x:font>
      <x:b/>
      <x:sz val="10"/>
      <x:color rgb="FF18324A"/>
      <x:name val="Arial"/>
    </x:font>
    <x:font>
      <x:b/>
      <x:sz val="11"/>
      <x:color rgb="FF2F6690"/>
      <x:name val="Arial"/>
    </x:font>
    <x:font>
      <x:b/>
      <x:sz val="10"/>
      <x:color rgb="FFFFFFFF"/>
      <x:name val="Arial"/>
    </x:font>
    <x:font>
      <x:sz val="10"/>
      <x:color rgb="FF18324A"/>
      <x:name val="Arial"/>
    </x:font>
    <x:font>
      <x:sz val="10"/>
      <x:color rgb="FF20262D"/>
      <x:name val="Arial"/>
    </x:font>
    <x:font>
      <x:b/>
      <x:sz val="10"/>
      <x:color rgb="FF20262D"/>
      <x:name val="Arial"/>
    </x:font>
  </x:fonts>
  <x:fills count="5">
    <x:fill>
      <x:patternFill patternType="none"/>
    </x:fill>
    <x:fill>
      <x:patternFill patternType="gray125"/>
    </x:fill>
    <x:fill>
      <x:patternFill patternType="solid">
        <x:fgColor rgb="FFFFF4D6"/>
      </x:patternFill>
    </x:fill>
    <x:fill>
      <x:patternFill patternType="solid">
        <x:fgColor rgb="FF18324A"/>
      </x:patternFill>
    </x:fill>
    <x:fill>
      <x:patternFill patternType="solid">
        <x:fgColor rgb="FFEAF2F8"/>
      </x:patternFill>
    </x:fill>
  </x:fills>
  <x:borders count="17">
    <x:border/>
    <x:border>
      <x:bottom style="thin">
        <x:color rgb="FF2F6690"/>
      </x:bottom>
    </x:border>
    <x:border>
      <x:left style="thin">
        <x:color rgb="FFD9E0E6"/>
      </x:left>
      <x:top style="thin">
        <x:color rgb="FFD9E0E6"/>
      </x:top>
    </x:border>
    <x:border>
      <x:right style="thin">
        <x:color rgb="FFD9E0E6"/>
      </x:right>
      <x:top style="thin">
        <x:color rgb="FFD9E0E6"/>
      </x:top>
    </x:border>
    <x:border>
      <x:left style="thin">
        <x:color rgb="FFD9E0E6"/>
      </x:left>
    </x:border>
    <x:border>
      <x:right style="thin">
        <x:color rgb="FFD9E0E6"/>
      </x:right>
    </x:border>
    <x:border>
      <x:left style="thin">
        <x:color rgb="FFD9E0E6"/>
      </x:left>
      <x:bottom style="thin">
        <x:color rgb="FFD9E0E6"/>
      </x:bottom>
    </x:border>
    <x:border>
      <x:right style="thin">
        <x:color rgb="FFD9E0E6"/>
      </x:right>
      <x:bottom style="thin">
        <x:color rgb="FFD9E0E6"/>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rder>
    <x:border>
      <x:right style="thin">
        <x:color rgb="FF2F6690"/>
      </x:right>
    </x:border>
    <x:border>
      <x:left style="thin">
        <x:color rgb="FF2F6690"/>
      </x:left>
      <x:bottom style="thin">
        <x:color rgb="FF2F6690"/>
      </x:bottom>
    </x:border>
    <x:border>
      <x:right style="thin">
        <x:color rgb="FF2F6690"/>
      </x:right>
      <x:bottom style="thin">
        <x:color rgb="FF2F6690"/>
      </x:bottom>
    </x:border>
    <x:border>
      <x:bottom style="thin">
        <x:color rgb="FFD9E0E6"/>
      </x:bottom>
    </x:border>
    <x:border>
      <x:top style="thin">
        <x:color rgb="FFD9E0E6"/>
      </x:top>
      <x:bottom style="thin">
        <x:color rgb="FFD9E0E6"/>
      </x:bottom>
    </x:border>
  </x:borders>
  <x:cellStyleXfs count="1">
    <x:xf numFmtId="0" fontId="0" fillId="0" borderId="0"/>
  </x:cellStyleXfs>
  <x:cellXfs count="56">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2" fillId="0" borderId="2" xfId="0" applyNumberFormat="1" applyFont="1" applyFill="1" applyBorder="1"/>
    <x:xf numFmtId="0" fontId="3" fillId="2" borderId="3" xfId="0" applyNumberFormat="1" applyFont="1" applyFill="1" applyBorder="1"/>
    <x:xf numFmtId="0" fontId="2" fillId="0" borderId="4" xfId="0" applyNumberFormat="1" applyFont="1" applyFill="1" applyBorder="1"/>
    <x:xf numFmtId="0" fontId="3" fillId="0" borderId="5" xfId="0" applyNumberFormat="1" applyFont="1" applyFill="1" applyBorder="1"/>
    <x:xf numFmtId="0" fontId="2" fillId="0" borderId="6" xfId="0" applyNumberFormat="1" applyFont="1" applyFill="1" applyBorder="1"/>
    <x:xf numFmtId="0" fontId="3" fillId="0" borderId="7"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4" fillId="3" borderId="10" xfId="0" applyNumberFormat="1" applyFont="1" applyFill="1" applyBorder="1" applyAlignment="1">
      <x:alignment horizontal="center" vertical="center" wrapText="1"/>
    </x:xf>
    <x:xf numFmtId="0" fontId="5" fillId="4" borderId="11" xfId="0" applyNumberFormat="1" applyFont="1" applyFill="1" applyBorder="1" applyAlignment="1">
      <x:alignment vertical="center" wrapText="1"/>
    </x:xf>
    <x:xf numFmtId="0" fontId="5" fillId="4" borderId="12" xfId="0" applyNumberFormat="1" applyFont="1" applyFill="1" applyBorder="1" applyAlignment="1">
      <x:alignment vertical="center" wrapText="1"/>
    </x:xf>
    <x:xf numFmtId="0" fontId="5" fillId="4" borderId="13"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5" fillId="4" borderId="14"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4" fillId="3" borderId="15" xfId="0" applyNumberFormat="1" applyFont="1" applyFill="1" applyBorder="1" applyAlignment="1">
      <x:alignment horizontal="center" vertical="center" wrapText="1"/>
    </x:xf>
    <x:xf numFmtId="0" fontId="6" fillId="0" borderId="16" xfId="0" applyNumberFormat="1" applyFont="1" applyFill="1" applyBorder="1" applyAlignment="1">
      <x:alignment vertical="top" wrapText="1"/>
    </x:xf>
    <x:xf numFmtId="0" fontId="6" fillId="2" borderId="16"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6"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7" fillId="0" borderId="0" xfId="0" applyNumberFormat="1" applyFont="1" applyFill="1" applyBorder="1"/>
    <x:xf numFmtId="0" fontId="6" fillId="0" borderId="1" xfId="0" applyNumberFormat="1" applyFont="1" applyFill="1" applyBorder="1"/>
    <x:xf numFmtId="0" fontId="6" fillId="3" borderId="0" xfId="0" applyNumberFormat="1" applyFont="1" applyFill="1" applyBorder="1" applyAlignment="1">
      <x:alignment wrapText="1"/>
    </x:xf>
    <x:xf numFmtId="0" fontId="6" fillId="0" borderId="16" xfId="0" applyNumberFormat="1" applyFont="1" applyFill="1" applyBorder="1" applyAlignment="1">
      <x:alignment wrapText="1"/>
    </x:xf>
    <x:xf numFmtId="0" fontId="6" fillId="2" borderId="16" xfId="0" applyNumberFormat="1" applyFont="1" applyFill="1" applyBorder="1" applyAlignment="1">
      <x:alignment wrapText="1"/>
    </x:xf>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3" fillId="0" borderId="3" xfId="0" applyNumberFormat="1" applyFont="1" applyFill="1" applyBorder="1"/>
    <x:xf numFmtId="0" fontId="2" fillId="0" borderId="0" xfId="0" applyNumberFormat="1" applyFont="1" applyFill="1" applyBorder="1" applyAlignment="1">
      <x:alignment wrapText="1"/>
    </x:xf>
    <x:xf numFmtId="0" fontId="3" fillId="0" borderId="7"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2">
    <x:dxf>
      <x:font>
        <x:b/>
        <x:color rgb="FF1B5E37"/>
      </x:font>
      <x:fill>
        <x:patternFill>
          <x:bgColor rgb="FFE8F3EC"/>
        </x:patternFill>
      </x:fill>
    </x:dxf>
    <x:dxf>
      <x:font>
        <x:b/>
        <x:color rgb="FF9B1C1C"/>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a5f840af404aae" /><Relationship Type="http://schemas.openxmlformats.org/officeDocument/2006/relationships/theme" Target="/xl/theme/theme1.xml" Id="Rcdcfaeb0b7744813" /><Relationship Type="http://schemas.openxmlformats.org/officeDocument/2006/relationships/sharedStrings" Target="/xl/sharedStrings.xml" Id="Rb21ccdf00695491d" /><Relationship Type="http://schemas.openxmlformats.org/officeDocument/2006/relationships/worksheet" Target="/xl/worksheets/sheet1.xml" Id="R4b1909b7125a4f25" /><Relationship Type="http://schemas.openxmlformats.org/officeDocument/2006/relationships/worksheet" Target="/xl/worksheets/sheet2.xml" Id="R1413a9ddd6c14b0a" /><Relationship Type="http://schemas.openxmlformats.org/officeDocument/2006/relationships/worksheet" Target="/xl/worksheets/sheet3.xml" Id="Rfeebd36e7c56473e" /><Relationship Type="http://schemas.openxmlformats.org/officeDocument/2006/relationships/worksheet" Target="/xl/worksheets/sheet4.xml" Id="Rfd88b2471ed84bc0" /></Relationships>
</file>

<file path=xl/tables/table1.xml><?xml version="1.0" encoding="utf-8"?>
<x:table xmlns:x="http://schemas.openxmlformats.org/spreadsheetml/2006/main" id="1" name="ParticipantsTable" displayName="ParticipantsTable" ref="A1:N13" headerRowCount="1" totalsRowCount="0" totalsRowShown="0">
  <x:tableColumns count="14">
    <x:tableColumn id="1" name="Participant ID"/>
    <x:tableColumn id="2" name="Participant type"/>
    <x:tableColumn id="3" name="Role"/>
    <x:tableColumn id="4" name="Company size band"/>
    <x:tableColumn id="5" name="Industry"/>
    <x:tableColumn id="6" name="Helpdesk"/>
    <x:tableColumn id="7" name="CRM or system of record"/>
    <x:tableColumn id="8" name="Recruitment source"/>
    <x:tableColumn id="9" name="Status"/>
    <x:tableColumn id="10" name="Scheduled date"/>
    <x:tableColumn id="11" name="Interview date"/>
    <x:tableColumn id="12" name="Recording consent"/>
    <x:tableColumn id="13" name="Notes file"/>
    <x:tableColumn id="14" name="Follow-up"/>
  </x:tableColumns>
  <x:tableStyleInfo name="TableStyleMedium2" showFirstColumn="0" showLastColumn="0" showRowStripes="1" showColumnStripes="0"/>
</x:table>
</file>

<file path=xl/tables/table2.xml><?xml version="1.0" encoding="utf-8"?>
<x:table xmlns:x="http://schemas.openxmlformats.org/spreadsheetml/2006/main" id="2" name="InterviewEvidenceTable" displayName="InterviewEvidenceTable" ref="A1:T13" headerRowCount="1" totalsRowCount="0" totalsRowShown="0">
  <x:tableColumns count="20">
    <x:tableColumn id="1" name="Participant ID"/>
    <x:tableColumn id="2" name="Interview date"/>
    <x:tableColumn id="3" name="Participant type"/>
    <x:tableColumn id="4" name="Role"/>
    <x:tableColumn id="5" name="Recent workflow"/>
    <x:tableColumn id="6" name="Workflow category"/>
    <x:tableColumn id="7" name="Systems involved"/>
    <x:tableColumn id="8" name="Where time was lost"/>
    <x:tableColumn id="9" name="Business or customer impact"/>
    <x:tableColumn id="10" name="Measurable impact"/>
    <x:tableColumn id="11" name="Current workaround"/>
    <x:tableColumn id="12" name="AI tools and correction needed"/>
    <x:tableColumn id="13" name="Native tool sufficient"/>
    <x:tableColumn id="14" name="Actions requiring approval"/>
    <x:tableColumn id="15" name="Buyer and purchase trigger"/>
    <x:tableColumn id="16" name="Pilot success evidence"/>
    <x:tableColumn id="17" name="Pilot interest"/>
    <x:tableColumn id="18" name="Exact anonymized quote"/>
    <x:tableColumn id="19" name="Researcher confidence"/>
    <x:tableColumn id="20" name="Notes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ddaee686c84d12" /></Relationships>
</file>

<file path=xl/worksheets/_rels/sheet3.xml.rels>&#65279;<?xml version="1.0" encoding="utf-8"?><Relationships xmlns="http://schemas.openxmlformats.org/package/2006/relationships"><Relationship Type="http://schemas.openxmlformats.org/officeDocument/2006/relationships/table" Target="/xl/tables/table2.xml" Id="R2db72db5725042cb" /></Relationships>
</file>

<file path=xl/worksheets/sheet1.xml><?xml version="1.0" encoding="utf-8"?>
<x:worksheet xmlns:x="http://schemas.openxmlformats.org/spreadsheetml/2006/main">
  <x:sheetPr>
    <x:tabColor rgb="FF18324A"/>
  </x:sheetPr>
  <x:sheetViews>
    <x:sheetView showGridLines="0" workbookViewId="0"/>
  </x:sheetViews>
  <x:sheetFormatPr defaultRowHeight="15"/>
  <x:cols>
    <x:col min="1" max="1" width="18" hidden="0" customWidth="1"/>
    <x:col min="2" max="2" width="31" hidden="0" customWidth="1"/>
    <x:col min="3" max="3" width="31" hidden="0" customWidth="1"/>
    <x:col min="4" max="4" width="27" hidden="0" customWidth="1"/>
    <x:col min="5" max="5" width="15" hidden="0" customWidth="1"/>
    <x:col min="6" max="6" width="18" hidden="0" customWidth="1"/>
    <x:col min="7" max="7" width="31" hidden="0" customWidth="1"/>
    <x:col min="8" max="8" width="26" hidden="0" customWidth="1"/>
  </x:cols>
  <x:sheetData>
    <x:row r="2">
      <x:c r="A2" s="1" t="str">
        <x:v>Customer Interview Research Tracker</x:v>
      </x:c>
      <x:c r="B2" s="1"/>
      <x:c r="C2" s="1"/>
      <x:c r="D2" s="1"/>
      <x:c r="E2" s="1"/>
      <x:c r="F2" s="1"/>
      <x:c r="G2" s="1"/>
      <x:c r="H2" s="1"/>
    </x:row>
    <x:row r="3">
      <x:c r="A3" s="2"/>
      <x:c r="B3" s="2"/>
      <x:c r="C3" s="2"/>
      <x:c r="D3" s="2"/>
      <x:c r="E3" s="2"/>
      <x:c r="F3" s="2"/>
      <x:c r="G3" s="2"/>
      <x:c r="H3" s="2"/>
    </x:row>
    <x:row r="4">
      <x:c r="A4" s="6" t="str">
        <x:v>Interview target</x:v>
      </x:c>
      <x:c r="B4" s="7" t="n">
        <x:v>8</x:v>
      </x:c>
      <x:c r="D4" s="21" t="str">
        <x:v>Research rule</x:v>
      </x:c>
      <x:c r="E4" s="22"/>
      <x:c r="F4" s="22"/>
      <x:c r="G4" s="22"/>
      <x:c r="H4" s="23"/>
    </x:row>
    <x:row r="5">
      <x:c r="A5" s="8" t="str">
        <x:v>Scheduled or completed</x:v>
      </x:c>
      <x:c r="B5" s="9" t="n">
        <x:f>COUNTIFS(Participants!$I$2:$I$13,"Scheduled")+COUNTIFS(Participants!$I$2:$I$13,"Completed")</x:f>
        <x:v>4</x:v>
      </x:c>
      <x:c r="D5" s="24" t="str">
        <x:v>Ask about the participant's last real support case. Record the workflow, systems, delay, impact, workaround and buying process. Do not show the product concept until the recent workflow is understood. Do not record names or email addresses in this workbook.</x:v>
      </x:c>
      <x:c r="E5" s="20"/>
      <x:c r="F5" s="20"/>
      <x:c r="G5" s="20"/>
      <x:c r="H5" s="25"/>
    </x:row>
    <x:row r="6">
      <x:c r="A6" s="8" t="str">
        <x:v>Interviews completed</x:v>
      </x:c>
      <x:c r="B6" s="9" t="n">
        <x:f>COUNTIFS(Participants!$I$2:$I$13,"Completed")</x:f>
        <x:v>4</x:v>
      </x:c>
      <x:c r="D6" s="24"/>
      <x:c r="E6" s="20"/>
      <x:c r="F6" s="20"/>
      <x:c r="G6" s="20"/>
      <x:c r="H6" s="25"/>
    </x:row>
    <x:row r="7">
      <x:c r="A7" s="8" t="str">
        <x:v>Interviews remaining</x:v>
      </x:c>
      <x:c r="B7" s="9" t="n">
        <x:f>MAX(0,B4-B6)</x:f>
        <x:v>4</x:v>
      </x:c>
      <x:c r="D7" s="24"/>
      <x:c r="E7" s="20"/>
      <x:c r="F7" s="20"/>
      <x:c r="G7" s="20"/>
      <x:c r="H7" s="25"/>
    </x:row>
    <x:row r="8">
      <x:c r="A8" s="10" t="str">
        <x:v>Decision status</x:v>
      </x:c>
      <x:c r="B8" s="54" t="str">
        <x:v>Research frozen at 4 interviews; recommendation remains evidence-limited</x:v>
      </x:c>
      <x:c r="C8" s="55"/>
      <x:c r="D8" s="26"/>
      <x:c r="E8" s="27"/>
      <x:c r="F8" s="27"/>
      <x:c r="G8" s="27"/>
      <x:c r="H8" s="28"/>
    </x:row>
    <x:row r="9">
      <x:c r="B9" s="55"/>
      <x:c r="C9" s="55"/>
      <x:c r="D9" s="55"/>
      <x:c r="E9" s="55"/>
      <x:c r="F9" s="55"/>
      <x:c r="G9" s="55"/>
      <x:c r="H9" s="55"/>
    </x:row>
    <x:row r="10">
      <x:c r="B10" s="55"/>
      <x:c r="C10" s="55"/>
      <x:c r="D10" s="55"/>
      <x:c r="E10" s="55"/>
      <x:c r="F10" s="55"/>
      <x:c r="G10" s="55"/>
      <x:c r="H10" s="55"/>
    </x:row>
    <x:row r="11">
      <x:c r="A11" s="32" t="str">
        <x:v>Stage</x:v>
      </x:c>
      <x:c r="B11" s="32" t="str">
        <x:v>Action</x:v>
      </x:c>
      <x:c r="C11" s="32" t="str">
        <x:v>Evidence required</x:v>
      </x:c>
      <x:c r="D11" s="32" t="str">
        <x:v>Stop condition</x:v>
      </x:c>
      <x:c r="E11" s="32" t="str">
        <x:v>Owner</x:v>
      </x:c>
      <x:c r="F11" s="32" t="str">
        <x:v>Status</x:v>
      </x:c>
      <x:c r="G11" s="32" t="str">
        <x:v>Next action</x:v>
      </x:c>
      <x:c r="H11" s="32" t="str">
        <x:v>Notes</x:v>
      </x:c>
    </x:row>
    <x:row r="12" ht="54" customHeight="1">
      <x:c r="A12" s="33" t="str">
        <x:v>Recruit</x:v>
      </x:c>
      <x:c r="B12" s="33" t="str">
        <x:v>Find a balanced set of frontline, leader and buyer participants</x:v>
      </x:c>
      <x:c r="C12" s="33" t="str">
        <x:v>Role and segment fit</x:v>
      </x:c>
      <x:c r="D12" s="33" t="str">
        <x:v>Eight interviews scheduled</x:v>
      </x:c>
      <x:c r="E12" s="33" t="str">
        <x:v>Researcher</x:v>
      </x:c>
      <x:c r="F12" s="34" t="str">
        <x:v>Closed with limitation</x:v>
      </x:c>
      <x:c r="G12" s="33" t="str">
        <x:v>Disclose that 4 of 8 minimum interviews were not completed</x:v>
      </x:c>
      <x:c r="H12" s="33" t="str">
        <x:v>Four interviews: three frontline and one application-approval stakeholder; no manager or economic buyer</x:v>
      </x:c>
    </x:row>
    <x:row r="13" ht="54" customHeight="1">
      <x:c r="A13" s="33" t="str">
        <x:v>Schedule</x:v>
      </x:c>
      <x:c r="B13" s="33" t="str">
        <x:v>Book 25 to 30 minute calls</x:v>
      </x:c>
      <x:c r="C13" s="33" t="str">
        <x:v>Date and consent plan</x:v>
      </x:c>
      <x:c r="D13" s="33" t="str">
        <x:v>Calendar confirmed</x:v>
      </x:c>
      <x:c r="E13" s="33" t="str">
        <x:v>Researcher</x:v>
      </x:c>
      <x:c r="F13" s="34" t="str">
        <x:v>Closed with limitation</x:v>
      </x:c>
      <x:c r="G13" s="33" t="str">
        <x:v>No remaining calls scheduled before submission</x:v>
      </x:c>
      <x:c r="H13" s="33" t="str">
        <x:v>The tracker preserves unfilled participant slots rather than fabricating completion</x:v>
      </x:c>
    </x:row>
    <x:row r="14" ht="54" customHeight="1">
      <x:c r="A14" s="33" t="str">
        <x:v>Interview</x:v>
      </x:c>
      <x:c r="B14" s="33" t="str">
        <x:v>Reconstruct one recent difficult support case</x:v>
      </x:c>
      <x:c r="C14" s="33" t="str">
        <x:v>Specific workflow and consequence</x:v>
      </x:c>
      <x:c r="D14" s="33" t="str">
        <x:v>No more useful detail emerges</x:v>
      </x:c>
      <x:c r="E14" s="33" t="str">
        <x:v>Researcher</x:v>
      </x:c>
      <x:c r="F14" s="34" t="str">
        <x:v>Closed with limitation</x:v>
      </x:c>
      <x:c r="G14" s="33" t="str">
        <x:v>Use only the four recorded interviews</x:v>
      </x:c>
      <x:c r="H14" s="33" t="str">
        <x:v>Two mid-market and two enterprise perspectives; do not claim saturation or prevalence</x:v>
      </x:c>
    </x:row>
    <x:row r="15" ht="54" customHeight="1">
      <x:c r="A15" s="33" t="str">
        <x:v>Capture</x:v>
      </x:c>
      <x:c r="B15" s="33" t="str">
        <x:v>Record anonymized evidence immediately</x:v>
      </x:c>
      <x:c r="C15" s="33" t="str">
        <x:v>Participant ID and exact quote</x:v>
      </x:c>
      <x:c r="D15" s="33" t="str">
        <x:v>Required fields completed</x:v>
      </x:c>
      <x:c r="E15" s="33" t="str">
        <x:v>Researcher</x:v>
      </x:c>
      <x:c r="F15" s="34" t="str">
        <x:v>Complete</x:v>
      </x:c>
      <x:c r="G15" s="33" t="str">
        <x:v>Preserve anonymized notes and evidence rows</x:v>
      </x:c>
      <x:c r="H15" s="33" t="str">
        <x:v>P01-P04 records complete; interview dates for P03-P04 and exact quotes were not supplied</x:v>
      </x:c>
    </x:row>
    <x:row r="16" ht="54" customHeight="1">
      <x:c r="A16" s="33" t="str">
        <x:v>Synthesize</x:v>
      </x:c>
      <x:c r="B16" s="33" t="str">
        <x:v>Compare recurring workflows and buying signals</x:v>
      </x:c>
      <x:c r="C16" s="33" t="str">
        <x:v>Counts plus representative examples</x:v>
      </x:c>
      <x:c r="D16" s="33" t="str">
        <x:v>Patterns stabilize</x:v>
      </x:c>
      <x:c r="E16" s="33" t="str">
        <x:v>Researcher</x:v>
      </x:c>
      <x:c r="F16" s="34" t="str">
        <x:v>Complete with caveat</x:v>
      </x:c>
      <x:c r="G16" s="33" t="str">
        <x:v>Report that all four decision gates remain unmet</x:v>
      </x:c>
      <x:c r="H16" s="33" t="str">
        <x:v>Knowledge/context escalation leads with 2 mentions; one restricted-pilot approval path was observed</x:v>
      </x:c>
    </x:row>
    <x:row r="17" ht="54" customHeight="1">
      <x:c r="A17" s="33" t="str">
        <x:v>Decide</x:v>
      </x:c>
      <x:c r="B17" s="33" t="str">
        <x:v>Choose, narrow or reject the separate-layer hypothesis</x:v>
      </x:c>
      <x:c r="C17" s="33" t="str">
        <x:v>All decision gates reviewed</x:v>
      </x:c>
      <x:c r="D17" s="33" t="str">
        <x:v>Decision recorded with limitations</x:v>
      </x:c>
      <x:c r="E17" s="33" t="str">
        <x:v>Researcher</x:v>
      </x:c>
      <x:c r="F17" s="34" t="str">
        <x:v>Complete with caveat</x:v>
      </x:c>
      <x:c r="G17" s="33" t="str">
        <x:v>Proceed only as a bounded assist-first workflow hypothesis</x:v>
      </x:c>
      <x:c r="H17" s="33" t="str">
        <x:v>Segment fit and approval design improved; buyer, willingness to pay and separate-layer demand remain unproven</x:v>
      </x:c>
    </x:row>
  </x:sheetData>
  <x:mergeCells>
    <x:mergeCell ref="A2:H2"/>
    <x:mergeCell ref="D4:H4"/>
    <x:mergeCell ref="D5:H8"/>
  </x:mergeCells>
  <x:dataValidations count="1">
    <x:dataValidation type="list" sqref="F12:F17">
      <x:formula1>"Not started,In progress,Complete,Blocked"</x:formula1>
    </x:dataValidation>
  </x:dataValidations>
  <x:pageMargins left="0.7" right="0.7" top="0.75" bottom="0.75" header="0.3" footer="0.3"/>
</x:worksheet>
</file>

<file path=xl/worksheets/sheet2.xml><?xml version="1.0" encoding="utf-8"?>
<x:worksheet xmlns:x="http://schemas.openxmlformats.org/spreadsheetml/2006/main">
  <x:sheetPr>
    <x:tabColor rgb="FF2F6690"/>
  </x:sheetPr>
  <x:sheetViews>
    <x:sheetView showGridLines="0" workbookViewId="0">
      <x:pane xSplit="2" ySplit="1" topLeftCell="C2" activePane="bottomRight" state="frozen"/>
    </x:sheetView>
  </x:sheetViews>
  <x:sheetFormatPr defaultRowHeight="15"/>
  <x:cols>
    <x:col min="1" max="1" width="14" hidden="0" customWidth="1"/>
    <x:col min="2" max="2" width="21" hidden="0" customWidth="1"/>
    <x:col min="3" max="3" width="23" hidden="0" customWidth="1"/>
    <x:col min="4" max="4" width="18" hidden="0" customWidth="1"/>
    <x:col min="5" max="5" width="23" hidden="0" customWidth="1"/>
    <x:col min="6" max="6" width="20" hidden="0" customWidth="1"/>
    <x:col min="7" max="7" width="28" hidden="0" customWidth="1"/>
    <x:col min="8" max="8" width="25" hidden="0" customWidth="1"/>
    <x:col min="9" max="9" width="18" hidden="0" customWidth="1"/>
    <x:col min="10" max="10" width="17" hidden="0" customWidth="1"/>
    <x:col min="11" max="11" width="17" hidden="0" customWidth="1"/>
    <x:col min="12" max="12" width="19" hidden="0" customWidth="1"/>
    <x:col min="13" max="13" width="18" hidden="0" customWidth="1"/>
    <x:col min="14" max="14" width="28" hidden="0" customWidth="1"/>
  </x:cols>
  <x:sheetData>
    <x:row r="1">
      <x:c r="A1" s="16" t="str">
        <x:v>Participant ID</x:v>
      </x:c>
      <x:c r="B1" s="16" t="str">
        <x:v>Participant type</x:v>
      </x:c>
      <x:c r="C1" s="16" t="str">
        <x:v>Role</x:v>
      </x:c>
      <x:c r="D1" s="16" t="str">
        <x:v>Company size band</x:v>
      </x:c>
      <x:c r="E1" s="16" t="str">
        <x:v>Industry</x:v>
      </x:c>
      <x:c r="F1" s="16" t="str">
        <x:v>Helpdesk</x:v>
      </x:c>
      <x:c r="G1" s="16" t="str">
        <x:v>CRM or system of record</x:v>
      </x:c>
      <x:c r="H1" s="16" t="str">
        <x:v>Recruitment source</x:v>
      </x:c>
      <x:c r="I1" s="16" t="str">
        <x:v>Status</x:v>
      </x:c>
      <x:c r="J1" s="16" t="str">
        <x:v>Scheduled date</x:v>
      </x:c>
      <x:c r="K1" s="16" t="str">
        <x:v>Interview date</x:v>
      </x:c>
      <x:c r="L1" s="16" t="str">
        <x:v>Recording consent</x:v>
      </x:c>
      <x:c r="M1" s="16" t="str">
        <x:v>Notes file</x:v>
      </x:c>
      <x:c r="N1" s="16" t="str">
        <x:v>Follow-up</x:v>
      </x:c>
    </x:row>
    <x:row r="2" ht="38" customHeight="1">
      <x:c r="A2" s="31" t="str">
        <x:v>P01</x:v>
      </x:c>
      <x:c r="B2" s="38" t="str">
        <x:v>Frontline</x:v>
      </x:c>
      <x:c r="C2" s="38" t="str">
        <x:v>Senior support-operations associate</x:v>
      </x:c>
      <x:c r="D2" s="38" t="str">
        <x:v>Enterprise 10,000+; process team approximately 80</x:v>
      </x:c>
      <x:c r="E2" s="38" t="str">
        <x:v>Outsourced B2B support operations</x:v>
      </x:c>
      <x:c r="F2" s="38" t="str">
        <x:v>Freshdesk / Salesforce Service Cloud (client-dependent)</x:v>
      </x:c>
      <x:c r="G2" s="38" t="str">
        <x:v>Salesforce / client CRM</x:v>
      </x:c>
      <x:c r="H2" s="38" t="str">
        <x:v>Existing professional contact</x:v>
      </x:c>
      <x:c r="I2" s="38" t="str">
        <x:v>Completed</x:v>
      </x:c>
      <x:c r="J2" s="39"/>
      <x:c r="K2" s="39" t="n">
        <x:v>46276</x:v>
      </x:c>
      <x:c r="L2" s="38" t="str">
        <x:v>Not requested</x:v>
      </x:c>
      <x:c r="M2" s="38" t="str">
        <x:v>notes/P01.md</x:v>
      </x:c>
      <x:c r="N2" s="38" t="str">
        <x:v>Ask buyer and pilot questions; request 2-3 referrals</x:v>
      </x:c>
    </x:row>
    <x:row r="3" ht="38" customHeight="1">
      <x:c r="A3" s="31" t="str">
        <x:v>P02</x:v>
      </x:c>
      <x:c r="B3" s="38" t="str">
        <x:v>Frontline</x:v>
      </x:c>
      <x:c r="C3" s="38" t="str">
        <x:v>Senior banking-operations complaints associate</x:v>
      </x:c>
      <x:c r="D3" s="38" t="str">
        <x:v>Enterprise 10,000+; operations unit 200+</x:v>
      </x:c>
      <x:c r="E3" s="38" t="str">
        <x:v>Retail banking and cards operations</x:v>
      </x:c>
      <x:c r="F3" s="38" t="str">
        <x:v>ServiceNow</x:v>
      </x:c>
      <x:c r="G3" s="38" t="str">
        <x:v>Core-banking CRM / Salesforce</x:v>
      </x:c>
      <x:c r="H3" s="38" t="str">
        <x:v>Existing professional contact</x:v>
      </x:c>
      <x:c r="I3" s="38" t="str">
        <x:v>Completed</x:v>
      </x:c>
      <x:c r="J3" s="39"/>
      <x:c r="K3" s="39" t="n">
        <x:v>46276</x:v>
      </x:c>
      <x:c r="L3" s="38" t="str">
        <x:v>Not requested</x:v>
      </x:c>
      <x:c r="M3" s="38" t="str">
        <x:v>notes/P02.md</x:v>
      </x:c>
      <x:c r="N3" s="38" t="str">
        <x:v>Ask buyer and pilot questions; request 2-3 referrals</x:v>
      </x:c>
    </x:row>
    <x:row r="4" ht="38" customHeight="1">
      <x:c r="A4" s="31" t="str">
        <x:v>P03</x:v>
      </x:c>
      <x:c r="B4" s="38" t="str">
        <x:v>Operations or buyer</x:v>
      </x:c>
      <x:c r="C4" s="38" t="str">
        <x:v>Technology/application stakeholder involved in SaaS integration approval</x:v>
      </x:c>
      <x:c r="D4" s="38" t="str">
        <x:v>Mid-market; approximately 400 employees</x:v>
      </x:c>
      <x:c r="E4" s="38" t="str">
        <x:v>B2B SaaS or technology-enabled services</x:v>
      </x:c>
      <x:c r="F4" s="38" t="str">
        <x:v>Zendesk</x:v>
      </x:c>
      <x:c r="G4" s="38" t="str">
        <x:v>Salesforce</x:v>
      </x:c>
      <x:c r="H4" s="38" t="str">
        <x:v>Researcher-provided interview</x:v>
      </x:c>
      <x:c r="I4" s="38" t="str">
        <x:v>Completed</x:v>
      </x:c>
      <x:c r="J4" s="39"/>
      <x:c r="K4" s="39"/>
      <x:c r="L4" s="38" t="str">
        <x:v>Not requested</x:v>
      </x:c>
      <x:c r="M4" s="38" t="str">
        <x:v>notes/P03.md</x:v>
      </x:c>
      <x:c r="N4" s="38" t="str">
        <x:v>Identify economic buyer, budget owner and proposed-product pilot interest</x:v>
      </x:c>
    </x:row>
    <x:row r="5" ht="38" customHeight="1">
      <x:c r="A5" s="31" t="str">
        <x:v>P04</x:v>
      </x:c>
      <x:c r="B5" s="38" t="str">
        <x:v>Frontline</x:v>
      </x:c>
      <x:c r="C5" s="38" t="str">
        <x:v>Customer-support or support-operations practitioner</x:v>
      </x:c>
      <x:c r="D5" s="38" t="str">
        <x:v>Mid-market; 51-1,000 employees</x:v>
      </x:c>
      <x:c r="E5" s="38" t="str">
        <x:v>B2B SaaS or technology-enabled services</x:v>
      </x:c>
      <x:c r="F5" s="38" t="str">
        <x:v>Zendesk</x:v>
      </x:c>
      <x:c r="G5" s="38" t="str">
        <x:v>Salesforce</x:v>
      </x:c>
      <x:c r="H5" s="38" t="str">
        <x:v>Researcher-provided interview</x:v>
      </x:c>
      <x:c r="I5" s="38" t="str">
        <x:v>Completed</x:v>
      </x:c>
      <x:c r="J5" s="39"/>
      <x:c r="K5" s="39"/>
      <x:c r="L5" s="38" t="str">
        <x:v>Not requested</x:v>
      </x:c>
      <x:c r="M5" s="38" t="str">
        <x:v>notes/P04.md</x:v>
      </x:c>
      <x:c r="N5" s="38" t="str">
        <x:v>Quantify escalation frequency/time and ask who would approve a pilot</x:v>
      </x:c>
    </x:row>
    <x:row r="6" ht="38" customHeight="1">
      <x:c r="A6" s="31" t="str">
        <x:v>P05</x:v>
      </x:c>
      <x:c r="B6" s="38" t="str">
        <x:v>Leader</x:v>
      </x:c>
      <x:c r="C6" s="38" t="str"/>
      <x:c r="D6" s="38" t="str"/>
      <x:c r="E6" s="38" t="str"/>
      <x:c r="F6" s="38" t="str"/>
      <x:c r="G6" s="38" t="str"/>
      <x:c r="H6" s="38" t="str"/>
      <x:c r="I6" s="38" t="str">
        <x:v>Not contacted</x:v>
      </x:c>
      <x:c r="J6" s="39"/>
      <x:c r="K6" s="39"/>
      <x:c r="L6" s="38" t="str">
        <x:v>Not requested</x:v>
      </x:c>
      <x:c r="M6" s="38" t="str">
        <x:v>notes/P05.md</x:v>
      </x:c>
      <x:c r="N6" s="38" t="str"/>
    </x:row>
    <x:row r="7" ht="38" customHeight="1">
      <x:c r="A7" s="31" t="str">
        <x:v>P06</x:v>
      </x:c>
      <x:c r="B7" s="38" t="str">
        <x:v>Leader</x:v>
      </x:c>
      <x:c r="C7" s="38" t="str"/>
      <x:c r="D7" s="38" t="str"/>
      <x:c r="E7" s="38" t="str"/>
      <x:c r="F7" s="38" t="str"/>
      <x:c r="G7" s="38" t="str"/>
      <x:c r="H7" s="38" t="str"/>
      <x:c r="I7" s="38" t="str">
        <x:v>Not contacted</x:v>
      </x:c>
      <x:c r="J7" s="39"/>
      <x:c r="K7" s="39"/>
      <x:c r="L7" s="38" t="str">
        <x:v>Not requested</x:v>
      </x:c>
      <x:c r="M7" s="38" t="str">
        <x:v>notes/P06.md</x:v>
      </x:c>
      <x:c r="N7" s="38" t="str"/>
    </x:row>
    <x:row r="8" ht="38" customHeight="1">
      <x:c r="A8" s="31" t="str">
        <x:v>P07</x:v>
      </x:c>
      <x:c r="B8" s="38" t="str">
        <x:v>Operations or buyer</x:v>
      </x:c>
      <x:c r="C8" s="38" t="str"/>
      <x:c r="D8" s="38" t="str"/>
      <x:c r="E8" s="38" t="str"/>
      <x:c r="F8" s="38" t="str"/>
      <x:c r="G8" s="38" t="str"/>
      <x:c r="H8" s="38" t="str"/>
      <x:c r="I8" s="38" t="str">
        <x:v>Not contacted</x:v>
      </x:c>
      <x:c r="J8" s="39"/>
      <x:c r="K8" s="39"/>
      <x:c r="L8" s="38" t="str">
        <x:v>Not requested</x:v>
      </x:c>
      <x:c r="M8" s="38" t="str">
        <x:v>notes/P07.md</x:v>
      </x:c>
      <x:c r="N8" s="38" t="str"/>
    </x:row>
    <x:row r="9" ht="38" customHeight="1">
      <x:c r="A9" s="31" t="str">
        <x:v>P08</x:v>
      </x:c>
      <x:c r="B9" s="38" t="str">
        <x:v>Operations or buyer</x:v>
      </x:c>
      <x:c r="C9" s="38" t="str"/>
      <x:c r="D9" s="38" t="str"/>
      <x:c r="E9" s="38" t="str"/>
      <x:c r="F9" s="38" t="str"/>
      <x:c r="G9" s="38" t="str"/>
      <x:c r="H9" s="38" t="str"/>
      <x:c r="I9" s="38" t="str">
        <x:v>Not contacted</x:v>
      </x:c>
      <x:c r="J9" s="39"/>
      <x:c r="K9" s="39"/>
      <x:c r="L9" s="38" t="str">
        <x:v>Not requested</x:v>
      </x:c>
      <x:c r="M9" s="38" t="str">
        <x:v>notes/P08.md</x:v>
      </x:c>
      <x:c r="N9" s="38" t="str"/>
    </x:row>
    <x:row r="10" ht="38" customHeight="1">
      <x:c r="A10" s="31" t="str">
        <x:v>P09</x:v>
      </x:c>
      <x:c r="B10" s="38" t="str">
        <x:v>Optional</x:v>
      </x:c>
      <x:c r="C10" s="38" t="str"/>
      <x:c r="D10" s="38" t="str"/>
      <x:c r="E10" s="38" t="str"/>
      <x:c r="F10" s="38" t="str"/>
      <x:c r="G10" s="38" t="str"/>
      <x:c r="H10" s="38" t="str"/>
      <x:c r="I10" s="38" t="str">
        <x:v>Not contacted</x:v>
      </x:c>
      <x:c r="J10" s="39"/>
      <x:c r="K10" s="39"/>
      <x:c r="L10" s="38" t="str">
        <x:v>Not requested</x:v>
      </x:c>
      <x:c r="M10" s="38" t="str">
        <x:v>notes/P09.md</x:v>
      </x:c>
      <x:c r="N10" s="38" t="str"/>
    </x:row>
    <x:row r="11" ht="38" customHeight="1">
      <x:c r="A11" s="31" t="str">
        <x:v>P10</x:v>
      </x:c>
      <x:c r="B11" s="38" t="str">
        <x:v>Optional</x:v>
      </x:c>
      <x:c r="C11" s="38" t="str"/>
      <x:c r="D11" s="38" t="str"/>
      <x:c r="E11" s="38" t="str"/>
      <x:c r="F11" s="38" t="str"/>
      <x:c r="G11" s="38" t="str"/>
      <x:c r="H11" s="38" t="str"/>
      <x:c r="I11" s="38" t="str">
        <x:v>Not contacted</x:v>
      </x:c>
      <x:c r="J11" s="39"/>
      <x:c r="K11" s="39"/>
      <x:c r="L11" s="38" t="str">
        <x:v>Not requested</x:v>
      </x:c>
      <x:c r="M11" s="38" t="str">
        <x:v>notes/P10.md</x:v>
      </x:c>
      <x:c r="N11" s="38" t="str"/>
    </x:row>
    <x:row r="12" ht="38" customHeight="1">
      <x:c r="A12" s="31" t="str">
        <x:v>P11</x:v>
      </x:c>
      <x:c r="B12" s="38" t="str">
        <x:v>Optional</x:v>
      </x:c>
      <x:c r="C12" s="38" t="str"/>
      <x:c r="D12" s="38" t="str"/>
      <x:c r="E12" s="38" t="str"/>
      <x:c r="F12" s="38" t="str"/>
      <x:c r="G12" s="38" t="str"/>
      <x:c r="H12" s="38" t="str"/>
      <x:c r="I12" s="38" t="str">
        <x:v>Not contacted</x:v>
      </x:c>
      <x:c r="J12" s="39"/>
      <x:c r="K12" s="39"/>
      <x:c r="L12" s="38" t="str">
        <x:v>Not requested</x:v>
      </x:c>
      <x:c r="M12" s="38" t="str">
        <x:v>notes/P11.md</x:v>
      </x:c>
      <x:c r="N12" s="38" t="str"/>
    </x:row>
    <x:row r="13" ht="38" customHeight="1">
      <x:c r="A13" s="31" t="str">
        <x:v>P12</x:v>
      </x:c>
      <x:c r="B13" s="38" t="str">
        <x:v>Optional</x:v>
      </x:c>
      <x:c r="C13" s="38" t="str"/>
      <x:c r="D13" s="38" t="str"/>
      <x:c r="E13" s="38" t="str"/>
      <x:c r="F13" s="38" t="str"/>
      <x:c r="G13" s="38" t="str"/>
      <x:c r="H13" s="38" t="str"/>
      <x:c r="I13" s="38" t="str">
        <x:v>Not contacted</x:v>
      </x:c>
      <x:c r="J13" s="39"/>
      <x:c r="K13" s="39"/>
      <x:c r="L13" s="38" t="str">
        <x:v>Not requested</x:v>
      </x:c>
      <x:c r="M13" s="38" t="str">
        <x:v>notes/P12.md</x:v>
      </x:c>
      <x:c r="N13" s="38" t="str"/>
    </x:row>
  </x:sheetData>
  <x:dataValidations count="4">
    <x:dataValidation type="list" sqref="B2:B13">
      <x:formula1>"Frontline,Leader,Operations or buyer,Optional"</x:formula1>
    </x:dataValidation>
    <x:dataValidation type="list" sqref="D2:D13">
      <x:formula1>"1-50,51-200,201-500,501-1000,1001+"</x:formula1>
    </x:dataValidation>
    <x:dataValidation type="list" sqref="I2:I13">
      <x:formula1>"Not contacted,Contacted,Scheduled,Completed,Declined,No response"</x:formula1>
    </x:dataValidation>
    <x:dataValidation type="list" sqref="L2:L13">
      <x:formula1>"Not requested,Granted,Declined"</x:formula1>
    </x:dataValidation>
  </x:dataValidations>
  <x:pageMargins left="0.7" right="0.7" top="0.75" bottom="0.75" header="0.3" footer="0.3"/>
  <x:tableParts count="1">
    <x:tablePart xmlns:r="http://schemas.openxmlformats.org/officeDocument/2006/relationships" r:id="Re6ddaee686c84d12"/>
  </x:tableParts>
</x:worksheet>
</file>

<file path=xl/worksheets/sheet3.xml><?xml version="1.0" encoding="utf-8"?>
<x:worksheet xmlns:x="http://schemas.openxmlformats.org/spreadsheetml/2006/main">
  <x:sheetPr>
    <x:tabColor rgb="FF7B8794"/>
  </x:sheetPr>
  <x:sheetViews>
    <x:sheetView showGridLines="0" workbookViewId="0">
      <x:pane xSplit="4" ySplit="1" topLeftCell="E2" activePane="bottomRight" state="frozen"/>
    </x:sheetView>
  </x:sheetViews>
  <x:sheetFormatPr defaultRowHeight="15"/>
  <x:cols>
    <x:col min="1" max="1" width="14" hidden="0" customWidth="1"/>
    <x:col min="2" max="2" width="16" hidden="0" customWidth="1"/>
    <x:col min="3" max="3" width="20" hidden="0" customWidth="1"/>
    <x:col min="4" max="4" width="21" hidden="0" customWidth="1"/>
    <x:col min="5" max="5" width="36" hidden="0" customWidth="1"/>
    <x:col min="6" max="6" width="23" hidden="0" customWidth="1"/>
    <x:col min="7" max="7" width="31" hidden="0" customWidth="1"/>
    <x:col min="8" max="8" width="34" hidden="0" customWidth="1"/>
    <x:col min="9" max="9" width="38" hidden="0" customWidth="1"/>
    <x:col min="10" max="10" width="18" hidden="0" customWidth="1"/>
    <x:col min="11" max="11" width="31" hidden="0" customWidth="1"/>
    <x:col min="12" max="12" width="38" hidden="0" customWidth="1"/>
    <x:col min="13" max="13" width="20" hidden="0" customWidth="1"/>
    <x:col min="14" max="14" width="34" hidden="0" customWidth="1"/>
    <x:col min="15" max="15" width="34" hidden="0" customWidth="1"/>
    <x:col min="16" max="16" width="34" hidden="0" customWidth="1"/>
    <x:col min="17" max="17" width="17" hidden="0" customWidth="1"/>
    <x:col min="18" max="18" width="46" hidden="0" customWidth="1"/>
    <x:col min="19" max="19" width="21" hidden="0" customWidth="1"/>
    <x:col min="20" max="20" width="18" hidden="0" customWidth="1"/>
  </x:cols>
  <x:sheetData>
    <x:row r="1">
      <x:c r="A1" s="16" t="str">
        <x:v>Participant ID</x:v>
      </x:c>
      <x:c r="B1" s="16" t="str">
        <x:v>Interview date</x:v>
      </x:c>
      <x:c r="C1" s="16" t="str">
        <x:v>Participant type</x:v>
      </x:c>
      <x:c r="D1" s="16" t="str">
        <x:v>Role</x:v>
      </x:c>
      <x:c r="E1" s="16" t="str">
        <x:v>Recent workflow</x:v>
      </x:c>
      <x:c r="F1" s="16" t="str">
        <x:v>Workflow category</x:v>
      </x:c>
      <x:c r="G1" s="16" t="str">
        <x:v>Systems involved</x:v>
      </x:c>
      <x:c r="H1" s="16" t="str">
        <x:v>Where time was lost</x:v>
      </x:c>
      <x:c r="I1" s="16" t="str">
        <x:v>Business or customer impact</x:v>
      </x:c>
      <x:c r="J1" s="16" t="str">
        <x:v>Measurable impact</x:v>
      </x:c>
      <x:c r="K1" s="16" t="str">
        <x:v>Current workaround</x:v>
      </x:c>
      <x:c r="L1" s="16" t="str">
        <x:v>AI tools and correction needed</x:v>
      </x:c>
      <x:c r="M1" s="16" t="str">
        <x:v>Native tool sufficient</x:v>
      </x:c>
      <x:c r="N1" s="16" t="str">
        <x:v>Actions requiring approval</x:v>
      </x:c>
      <x:c r="O1" s="16" t="str">
        <x:v>Buyer and purchase trigger</x:v>
      </x:c>
      <x:c r="P1" s="16" t="str">
        <x:v>Pilot success evidence</x:v>
      </x:c>
      <x:c r="Q1" s="16" t="str">
        <x:v>Pilot interest</x:v>
      </x:c>
      <x:c r="R1" s="16" t="str">
        <x:v>Exact anonymized quote</x:v>
      </x:c>
      <x:c r="S1" s="16" t="str">
        <x:v>Researcher confidence</x:v>
      </x:c>
      <x:c r="T1" s="16" t="str">
        <x:v>Notes file</x:v>
      </x:c>
    </x:row>
    <x:row r="2" ht="70" customHeight="1">
      <x:c r="A2" s="31" t="str">
        <x:v>P01</x:v>
      </x:c>
      <x:c r="B2" s="40" t="n">
        <x:v>46276</x:v>
      </x:c>
      <x:c r="C2" s="31" t="str">
        <x:v>Frontline</x:v>
      </x:c>
      <x:c r="D2" s="31" t="str">
        <x:v>Senior support-operations associate</x:v>
      </x:c>
      <x:c r="E2" s="38" t="str">
        <x:v>Closed-but-unresolved ticket requiring CRM reconstruction and L2 escalation</x:v>
      </x:c>
      <x:c r="F2" s="38" t="str">
        <x:v>Knowledge or context</x:v>
      </x:c>
      <x:c r="G2" s="38" t="str">
        <x:v>Helpdesk, Salesforce/client CRM, Outlook, Teams, Excel and internal knowledge base</x:v>
      </x:c>
      <x:c r="H2" s="38" t="str">
        <x:v>20-25 minutes per difficult case collecting context; Teams escalation not written back; old links broke after migration</x:v>
      </x:c>
      <x:c r="I2" s="38" t="str">
        <x:v>Repeat contact, missing context for the next agent and 100-150 estimated minutes of daily context work</x:v>
      </x:c>
      <x:c r="J2" s="38" t="str">
        <x:v>Yes</x:v>
      </x:c>
      <x:c r="K2" s="38" t="str">
        <x:v>Manual CRM-to-ticket copy, Teams escalation, Excel status tracker and searches in the previous system</x:v>
      </x:c>
      <x:c r="L2" s="38" t="str">
        <x:v>Not covered; reported need is context retrieval, synchronization and handoff</x:v>
      </x:c>
      <x:c r="M2" s="38" t="str">
        <x:v>No</x:v>
      </x:c>
      <x:c r="N2" s="38" t="str">
        <x:v>L2 technical or billing involvement; exact approval boundary not asked</x:v>
      </x:c>
      <x:c r="O2" s="38" t="str">
        <x:v>Unknown; purchase process was not covered</x:v>
      </x:c>
      <x:c r="P2" s="38" t="str">
        <x:v>Unknown; baseline, acceptable risk and continuation metric were not covered</x:v>
      </x:c>
      <x:c r="Q2" s="38" t="str">
        <x:v>Unknown</x:v>
      </x:c>
      <x:c r="R2" s="38"/>
      <x:c r="S2" s="38" t="str">
        <x:v>Medium</x:v>
      </x:c>
      <x:c r="T2" s="31" t="str">
        <x:v>notes/P01.md</x:v>
      </x:c>
    </x:row>
    <x:row r="3" ht="70" customHeight="1">
      <x:c r="A3" s="31" t="str">
        <x:v>P02</x:v>
      </x:c>
      <x:c r="B3" s="40" t="n">
        <x:v>46276</x:v>
      </x:c>
      <x:c r="C3" s="31" t="str">
        <x:v>Frontline</x:v>
      </x:c>
      <x:c r="D3" s="31" t="str">
        <x:v>Senior banking-operations complaints associate</x:v>
      </x:c>
      <x:c r="E3" s="38" t="str">
        <x:v>KYC-related transaction decline requiring document, risk and compliance verification</x:v>
      </x:c>
      <x:c r="F3" s="38" t="str">
        <x:v>Entitlement or access</x:v>
      </x:c>
      <x:c r="G3" s="38" t="str">
        <x:v>ServiceNow, Pega, core-banking CRM/Salesforce, secure Outlook, compliance portal, call logger and DMS</x:v>
      </x:c>
      <x:c r="H3" s="38" t="str">
        <x:v>15 minutes of duplicate logging per case; repeated identifiers; manual audit attachment; 4-6-hour formal escalation wait</x:v>
      </x:c>
      <x:c r="I3" s="38" t="str">
        <x:v>Customer frustration, delayed updates, duplicate cases and increased operational and audit effort</x:v>
      </x:c>
      <x:c r="J3" s="38" t="str">
        <x:v>Yes</x:v>
      </x:c>
      <x:c r="K3" s="38" t="str">
        <x:v>Manual system checks, Pega/compliance request, secure-email response and manual upload to ServiceNow</x:v>
      </x:c>
      <x:c r="L3" s="38" t="str">
        <x:v>Not covered; any assistance must respect view-only access, approved evidence and audit logging</x:v>
      </x:c>
      <x:c r="M3" s="38" t="str">
        <x:v>No</x:v>
      </x:c>
      <x:c r="N3" s="38" t="str">
        <x:v>KYC, fraud, risk and compliance decisions require approval</x:v>
      </x:c>
      <x:c r="O3" s="38" t="str">
        <x:v>Unknown; purchase process was not covered</x:v>
      </x:c>
      <x:c r="P3" s="38" t="str">
        <x:v>Unknown; baseline, acceptable risk and continuation metric were not covered</x:v>
      </x:c>
      <x:c r="Q3" s="38" t="str">
        <x:v>Unknown</x:v>
      </x:c>
      <x:c r="R3" s="38"/>
      <x:c r="S3" s="38" t="str">
        <x:v>Medium</x:v>
      </x:c>
      <x:c r="T3" s="31" t="str">
        <x:v>notes/P02.md</x:v>
      </x:c>
    </x:row>
    <x:row r="4" ht="70" customHeight="1">
      <x:c r="A4" s="31" t="str">
        <x:v>P03</x:v>
      </x:c>
      <x:c r="B4" s="40"/>
      <x:c r="C4" s="31" t="str">
        <x:v>Operations or buyer</x:v>
      </x:c>
      <x:c r="D4" s="31" t="str">
        <x:v>Technology/application stakeholder involved in SaaS integration approval</x:v>
      </x:c>
      <x:c r="E4" s="38" t="str">
        <x:v>Review and restricted pilot of an AI Zendesk analytics integration</x:v>
      </x:c>
      <x:c r="F4" s="38" t="str">
        <x:v>Other</x:v>
      </x:c>
      <x:c r="G4" s="38" t="str">
        <x:v>Zendesk, Salesforce, Slack, Okta and Workato</x:v>
      </x:c>
      <x:c r="H4" s="38" t="str">
        <x:v>Default access exceeded the pilot need; attachment sensitivity, retention and write-back required review</x:v>
      </x:c>
      <x:c r="I4" s="38" t="str">
        <x:v>Restricted one-month pilot on two queues; write-back disabled; no quantified business outcome</x:v>
      </x:c>
      <x:c r="J4" s="38" t="str">
        <x:v>No</x:v>
      </x:c>
      <x:c r="K4" s="38" t="str">
        <x:v>Limit queues and product areas, disable write-back, name an owner and run a short pilot</x:v>
      </x:c>
      <x:c r="L4" s="38" t="str">
        <x:v>Agent-assist summaries and drafts with human send; classification not fully reliable</x:v>
      </x:c>
      <x:c r="M4" s="38" t="str">
        <x:v>Unknown</x:v>
      </x:c>
      <x:c r="N4" s="38" t="str">
        <x:v>Refunds, entitlements, contract data, Salesforce ownership/renewal fields, customer messages and downstream workflows</x:v>
      </x:c>
      <x:c r="O4" s="38" t="str">
        <x:v>Support Ops owns the business case; Zendesk/application owner, security, procurement and legal participate; economic buyer unknown</x:v>
      </x:c>
      <x:c r="P4" s="38" t="str">
        <x:v>Constrained data scope, read-only access where possible, clear retention and reversible controls</x:v>
      </x:c>
      <x:c r="Q4" s="38" t="str">
        <x:v>Unknown</x:v>
      </x:c>
      <x:c r="R4" s="38"/>
      <x:c r="S4" s="38" t="str">
        <x:v>Medium</x:v>
      </x:c>
      <x:c r="T4" s="31" t="str">
        <x:v>notes/P03.md</x:v>
      </x:c>
    </x:row>
    <x:row r="5" ht="70" customHeight="1">
      <x:c r="A5" s="31" t="str">
        <x:v>P04</x:v>
      </x:c>
      <x:c r="B5" s="40"/>
      <x:c r="C5" s="31" t="str">
        <x:v>Frontline</x:v>
      </x:c>
      <x:c r="D5" s="31" t="str">
        <x:v>Customer-support or support-operations practitioner</x:v>
      </x:c>
      <x:c r="E5" s="38" t="str">
        <x:v>Post-update customer workflow failure escalated from Zendesk to engineering through Jira</x:v>
      </x:c>
      <x:c r="F5" s="38" t="str">
        <x:v>Knowledge or context</x:v>
      </x:c>
      <x:c r="G5" s="38" t="str">
        <x:v>Zendesk, Salesforce, Jira, Slack, internal admin tools and monitoring/logs</x:v>
      </x:c>
      <x:c r="H5" s="38" t="str">
        <x:v>Manual Zendesk-to-Jira summary; additional timestamp/request ID; customer reproduction; repeated status updates</x:v>
      </x:c>
      <x:c r="I5" s="38" t="str">
        <x:v>Longer customer wait and repeated update work; no quantified duration</x:v>
      </x:c>
      <x:c r="J5" s="38" t="str">
        <x:v>No</x:v>
      </x:c>
      <x:c r="K5" s="38" t="str">
        <x:v>Jira escalation template, manual summary, Slack escalation and Customer Success context check</x:v>
      </x:c>
      <x:c r="L5" s="38" t="str">
        <x:v>Zendesk summaries, suggested replies, classification/routing and internal knowledge search require verification</x:v>
      </x:c>
      <x:c r="M5" s="38" t="str">
        <x:v>No</x:v>
      </x:c>
      <x:c r="N5" s="38" t="str">
        <x:v>Permissions, account settings, credits, subscriptions, integration changes and engineering delivery commitments</x:v>
      </x:c>
      <x:c r="O5" s="38" t="str">
        <x:v>Unknown; purchase process was not covered</x:v>
      </x:c>
      <x:c r="P5" s="38" t="str">
        <x:v>Reduce manual context collection without creating another ticket copy or system to maintain</x:v>
      </x:c>
      <x:c r="Q5" s="38" t="str">
        <x:v>Maybe</x:v>
      </x:c>
      <x:c r="R5" s="38"/>
      <x:c r="S5" s="38" t="str">
        <x:v>Medium</x:v>
      </x:c>
      <x:c r="T5" s="31" t="str">
        <x:v>notes/P04.md</x:v>
      </x:c>
    </x:row>
    <x:row r="6" ht="70" customHeight="1">
      <x:c r="A6" s="31" t="str">
        <x:v>P05</x:v>
      </x:c>
      <x:c r="B6" s="40" t="str">
        <x:f>IF(Participants!K6="","",Participants!K6)</x:f>
      </x:c>
      <x:c r="C6" s="31" t="str">
        <x:f>Participants!B6</x:f>
        <x:v>Leader</x:v>
      </x:c>
      <x:c r="D6" s="31" t="str">
        <x:f>IF(Participants!C6="","",Participants!C6)</x:f>
      </x:c>
      <x:c r="E6" s="38" t="str"/>
      <x:c r="F6" s="38" t="str"/>
      <x:c r="G6" s="38" t="str"/>
      <x:c r="H6" s="38" t="str"/>
      <x:c r="I6" s="38" t="str"/>
      <x:c r="J6" s="38" t="str">
        <x:v>Unknown</x:v>
      </x:c>
      <x:c r="K6" s="38" t="str"/>
      <x:c r="L6" s="38" t="str"/>
      <x:c r="M6" s="38" t="str">
        <x:v>Unknown</x:v>
      </x:c>
      <x:c r="N6" s="38" t="str"/>
      <x:c r="O6" s="38" t="str"/>
      <x:c r="P6" s="38" t="str"/>
      <x:c r="Q6" s="38" t="str">
        <x:v>Unknown</x:v>
      </x:c>
      <x:c r="R6" s="38" t="str"/>
      <x:c r="S6" s="38" t="str">
        <x:v>Medium</x:v>
      </x:c>
      <x:c r="T6" s="31" t="str">
        <x:f>Participants!M6</x:f>
        <x:v>notes/P05.md</x:v>
      </x:c>
    </x:row>
    <x:row r="7" ht="70" customHeight="1">
      <x:c r="A7" s="31" t="str">
        <x:v>P06</x:v>
      </x:c>
      <x:c r="B7" s="40" t="str">
        <x:f>IF(Participants!K7="","",Participants!K7)</x:f>
      </x:c>
      <x:c r="C7" s="31" t="str">
        <x:f>Participants!B7</x:f>
        <x:v>Leader</x:v>
      </x:c>
      <x:c r="D7" s="31" t="str">
        <x:f>IF(Participants!C7="","",Participants!C7)</x:f>
      </x:c>
      <x:c r="E7" s="38" t="str"/>
      <x:c r="F7" s="38" t="str"/>
      <x:c r="G7" s="38" t="str"/>
      <x:c r="H7" s="38" t="str"/>
      <x:c r="I7" s="38" t="str"/>
      <x:c r="J7" s="38" t="str">
        <x:v>Unknown</x:v>
      </x:c>
      <x:c r="K7" s="38" t="str"/>
      <x:c r="L7" s="38" t="str"/>
      <x:c r="M7" s="38" t="str">
        <x:v>Unknown</x:v>
      </x:c>
      <x:c r="N7" s="38" t="str"/>
      <x:c r="O7" s="38" t="str"/>
      <x:c r="P7" s="38" t="str"/>
      <x:c r="Q7" s="38" t="str">
        <x:v>Unknown</x:v>
      </x:c>
      <x:c r="R7" s="38" t="str"/>
      <x:c r="S7" s="38" t="str">
        <x:v>Medium</x:v>
      </x:c>
      <x:c r="T7" s="31" t="str">
        <x:f>Participants!M7</x:f>
        <x:v>notes/P06.md</x:v>
      </x:c>
    </x:row>
    <x:row r="8" ht="70" customHeight="1">
      <x:c r="A8" s="31" t="str">
        <x:v>P07</x:v>
      </x:c>
      <x:c r="B8" s="40" t="str">
        <x:f>IF(Participants!K8="","",Participants!K8)</x:f>
      </x:c>
      <x:c r="C8" s="31" t="str">
        <x:f>Participants!B8</x:f>
        <x:v>Operations or buyer</x:v>
      </x:c>
      <x:c r="D8" s="31" t="str">
        <x:f>IF(Participants!C8="","",Participants!C8)</x:f>
      </x:c>
      <x:c r="E8" s="38" t="str"/>
      <x:c r="F8" s="38" t="str"/>
      <x:c r="G8" s="38" t="str"/>
      <x:c r="H8" s="38" t="str"/>
      <x:c r="I8" s="38" t="str"/>
      <x:c r="J8" s="38" t="str">
        <x:v>Unknown</x:v>
      </x:c>
      <x:c r="K8" s="38" t="str"/>
      <x:c r="L8" s="38" t="str"/>
      <x:c r="M8" s="38" t="str">
        <x:v>Unknown</x:v>
      </x:c>
      <x:c r="N8" s="38" t="str"/>
      <x:c r="O8" s="38" t="str"/>
      <x:c r="P8" s="38" t="str"/>
      <x:c r="Q8" s="38" t="str">
        <x:v>Unknown</x:v>
      </x:c>
      <x:c r="R8" s="38" t="str"/>
      <x:c r="S8" s="38" t="str">
        <x:v>Medium</x:v>
      </x:c>
      <x:c r="T8" s="31" t="str">
        <x:f>Participants!M8</x:f>
        <x:v>notes/P07.md</x:v>
      </x:c>
    </x:row>
    <x:row r="9" ht="70" customHeight="1">
      <x:c r="A9" s="31" t="str">
        <x:v>P08</x:v>
      </x:c>
      <x:c r="B9" s="40" t="str">
        <x:f>IF(Participants!K9="","",Participants!K9)</x:f>
      </x:c>
      <x:c r="C9" s="31" t="str">
        <x:f>Participants!B9</x:f>
        <x:v>Operations or buyer</x:v>
      </x:c>
      <x:c r="D9" s="31" t="str">
        <x:f>IF(Participants!C9="","",Participants!C9)</x:f>
      </x:c>
      <x:c r="E9" s="38" t="str"/>
      <x:c r="F9" s="38" t="str"/>
      <x:c r="G9" s="38" t="str"/>
      <x:c r="H9" s="38" t="str"/>
      <x:c r="I9" s="38" t="str"/>
      <x:c r="J9" s="38" t="str">
        <x:v>Unknown</x:v>
      </x:c>
      <x:c r="K9" s="38" t="str"/>
      <x:c r="L9" s="38" t="str"/>
      <x:c r="M9" s="38" t="str">
        <x:v>Unknown</x:v>
      </x:c>
      <x:c r="N9" s="38" t="str"/>
      <x:c r="O9" s="38" t="str"/>
      <x:c r="P9" s="38" t="str"/>
      <x:c r="Q9" s="38" t="str">
        <x:v>Unknown</x:v>
      </x:c>
      <x:c r="R9" s="38" t="str"/>
      <x:c r="S9" s="38" t="str">
        <x:v>Medium</x:v>
      </x:c>
      <x:c r="T9" s="31" t="str">
        <x:f>Participants!M9</x:f>
        <x:v>notes/P08.md</x:v>
      </x:c>
    </x:row>
    <x:row r="10" ht="70" customHeight="1">
      <x:c r="A10" s="31" t="str">
        <x:v>P09</x:v>
      </x:c>
      <x:c r="B10" s="40" t="str">
        <x:f>IF(Participants!K10="","",Participants!K10)</x:f>
      </x:c>
      <x:c r="C10" s="31" t="str">
        <x:f>Participants!B10</x:f>
        <x:v>Optional</x:v>
      </x:c>
      <x:c r="D10" s="31" t="str">
        <x:f>IF(Participants!C10="","",Participants!C10)</x:f>
      </x:c>
      <x:c r="E10" s="38" t="str"/>
      <x:c r="F10" s="38" t="str"/>
      <x:c r="G10" s="38" t="str"/>
      <x:c r="H10" s="38" t="str"/>
      <x:c r="I10" s="38" t="str"/>
      <x:c r="J10" s="38" t="str">
        <x:v>Unknown</x:v>
      </x:c>
      <x:c r="K10" s="38" t="str"/>
      <x:c r="L10" s="38" t="str"/>
      <x:c r="M10" s="38" t="str">
        <x:v>Unknown</x:v>
      </x:c>
      <x:c r="N10" s="38" t="str"/>
      <x:c r="O10" s="38" t="str"/>
      <x:c r="P10" s="38" t="str"/>
      <x:c r="Q10" s="38" t="str">
        <x:v>Unknown</x:v>
      </x:c>
      <x:c r="R10" s="38" t="str"/>
      <x:c r="S10" s="38" t="str">
        <x:v>Medium</x:v>
      </x:c>
      <x:c r="T10" s="31" t="str">
        <x:f>Participants!M10</x:f>
        <x:v>notes/P09.md</x:v>
      </x:c>
    </x:row>
    <x:row r="11" ht="70" customHeight="1">
      <x:c r="A11" s="31" t="str">
        <x:v>P10</x:v>
      </x:c>
      <x:c r="B11" s="40" t="str">
        <x:f>IF(Participants!K11="","",Participants!K11)</x:f>
      </x:c>
      <x:c r="C11" s="31" t="str">
        <x:f>Participants!B11</x:f>
        <x:v>Optional</x:v>
      </x:c>
      <x:c r="D11" s="31" t="str">
        <x:f>IF(Participants!C11="","",Participants!C11)</x:f>
      </x:c>
      <x:c r="E11" s="38" t="str"/>
      <x:c r="F11" s="38" t="str"/>
      <x:c r="G11" s="38" t="str"/>
      <x:c r="H11" s="38" t="str"/>
      <x:c r="I11" s="38" t="str"/>
      <x:c r="J11" s="38" t="str">
        <x:v>Unknown</x:v>
      </x:c>
      <x:c r="K11" s="38" t="str"/>
      <x:c r="L11" s="38" t="str"/>
      <x:c r="M11" s="38" t="str">
        <x:v>Unknown</x:v>
      </x:c>
      <x:c r="N11" s="38" t="str"/>
      <x:c r="O11" s="38" t="str"/>
      <x:c r="P11" s="38" t="str"/>
      <x:c r="Q11" s="38" t="str">
        <x:v>Unknown</x:v>
      </x:c>
      <x:c r="R11" s="38" t="str"/>
      <x:c r="S11" s="38" t="str">
        <x:v>Medium</x:v>
      </x:c>
      <x:c r="T11" s="31" t="str">
        <x:f>Participants!M11</x:f>
        <x:v>notes/P10.md</x:v>
      </x:c>
    </x:row>
    <x:row r="12" ht="70" customHeight="1">
      <x:c r="A12" s="31" t="str">
        <x:v>P11</x:v>
      </x:c>
      <x:c r="B12" s="40" t="str">
        <x:f>IF(Participants!K12="","",Participants!K12)</x:f>
      </x:c>
      <x:c r="C12" s="31" t="str">
        <x:f>Participants!B12</x:f>
        <x:v>Optional</x:v>
      </x:c>
      <x:c r="D12" s="31" t="str">
        <x:f>IF(Participants!C12="","",Participants!C12)</x:f>
      </x:c>
      <x:c r="E12" s="38" t="str"/>
      <x:c r="F12" s="38" t="str"/>
      <x:c r="G12" s="38" t="str"/>
      <x:c r="H12" s="38" t="str"/>
      <x:c r="I12" s="38" t="str"/>
      <x:c r="J12" s="38" t="str">
        <x:v>Unknown</x:v>
      </x:c>
      <x:c r="K12" s="38" t="str"/>
      <x:c r="L12" s="38" t="str"/>
      <x:c r="M12" s="38" t="str">
        <x:v>Unknown</x:v>
      </x:c>
      <x:c r="N12" s="38" t="str"/>
      <x:c r="O12" s="38" t="str"/>
      <x:c r="P12" s="38" t="str"/>
      <x:c r="Q12" s="38" t="str">
        <x:v>Unknown</x:v>
      </x:c>
      <x:c r="R12" s="38" t="str"/>
      <x:c r="S12" s="38" t="str">
        <x:v>Medium</x:v>
      </x:c>
      <x:c r="T12" s="31" t="str">
        <x:f>Participants!M12</x:f>
        <x:v>notes/P11.md</x:v>
      </x:c>
    </x:row>
    <x:row r="13" ht="70" customHeight="1">
      <x:c r="A13" s="31" t="str">
        <x:v>P12</x:v>
      </x:c>
      <x:c r="B13" s="40" t="str">
        <x:f>IF(Participants!K13="","",Participants!K13)</x:f>
      </x:c>
      <x:c r="C13" s="31" t="str">
        <x:f>Participants!B13</x:f>
        <x:v>Optional</x:v>
      </x:c>
      <x:c r="D13" s="31" t="str">
        <x:f>IF(Participants!C13="","",Participants!C13)</x:f>
      </x:c>
      <x:c r="E13" s="38" t="str"/>
      <x:c r="F13" s="38" t="str"/>
      <x:c r="G13" s="38" t="str"/>
      <x:c r="H13" s="38" t="str"/>
      <x:c r="I13" s="38" t="str"/>
      <x:c r="J13" s="38" t="str">
        <x:v>Unknown</x:v>
      </x:c>
      <x:c r="K13" s="38" t="str"/>
      <x:c r="L13" s="38" t="str"/>
      <x:c r="M13" s="38" t="str">
        <x:v>Unknown</x:v>
      </x:c>
      <x:c r="N13" s="38" t="str"/>
      <x:c r="O13" s="38" t="str"/>
      <x:c r="P13" s="38" t="str"/>
      <x:c r="Q13" s="38" t="str">
        <x:v>Unknown</x:v>
      </x:c>
      <x:c r="R13" s="38" t="str"/>
      <x:c r="S13" s="38" t="str">
        <x:v>Medium</x:v>
      </x:c>
      <x:c r="T13" s="31" t="str">
        <x:f>Participants!M13</x:f>
        <x:v>notes/P12.md</x:v>
      </x:c>
    </x:row>
  </x:sheetData>
  <x:dataValidations count="5">
    <x:dataValidation type="list" sqref="F2:F13">
      <x:formula1>"Billing or account status,Entitlement or access,Subscription change,Knowledge or context,Order or delivery,Other"</x:formula1>
    </x:dataValidation>
    <x:dataValidation type="list" sqref="J2:J13">
      <x:formula1>"Yes,No,Unknown"</x:formula1>
    </x:dataValidation>
    <x:dataValidation type="list" sqref="M2:M13">
      <x:formula1>"Yes,No,Unknown"</x:formula1>
    </x:dataValidation>
    <x:dataValidation type="list" sqref="Q2:Q13">
      <x:formula1>"Yes,Maybe,No,Unknown"</x:formula1>
    </x:dataValidation>
    <x:dataValidation type="list" sqref="S2:S13">
      <x:formula1>"High,Medium,Low"</x:formula1>
    </x:dataValidation>
  </x:dataValidations>
  <x:pageMargins left="0.7" right="0.7" top="0.75" bottom="0.75" header="0.3" footer="0.3"/>
  <x:tableParts count="1">
    <x:tablePart xmlns:r="http://schemas.openxmlformats.org/officeDocument/2006/relationships" r:id="R2db72db5725042cb"/>
  </x:tableParts>
</x:worksheet>
</file>

<file path=xl/worksheets/sheet4.xml><?xml version="1.0" encoding="utf-8"?>
<x:worksheet xmlns:x="http://schemas.openxmlformats.org/spreadsheetml/2006/main">
  <x:sheetPr>
    <x:tabColor rgb="FF2F6690"/>
  </x:sheetPr>
  <x:sheetViews>
    <x:sheetView showGridLines="0" workbookViewId="0"/>
  </x:sheetViews>
  <x:sheetFormatPr defaultRowHeight="15"/>
  <x:cols>
    <x:col min="1" max="1" width="39" hidden="0" customWidth="1"/>
    <x:col min="2" max="2" width="21" hidden="0" customWidth="1"/>
    <x:col min="3" max="3" width="21" hidden="0" customWidth="1"/>
    <x:col min="4" max="4" width="21" hidden="0" customWidth="1"/>
    <x:col min="5" max="5" width="21" hidden="0" customWidth="1"/>
    <x:col min="6" max="6" width="21" hidden="0" customWidth="1"/>
    <x:col min="7" max="7" width="44" hidden="0" customWidth="1"/>
  </x:cols>
  <x:sheetData>
    <x:row r="1">
      <x:c r="A1" s="29"/>
      <x:c r="B1" s="29"/>
      <x:c r="C1" s="29"/>
      <x:c r="D1" s="29"/>
      <x:c r="E1" s="29"/>
      <x:c r="F1" s="29"/>
      <x:c r="G1" s="29"/>
    </x:row>
    <x:row r="2">
      <x:c r="A2" s="41" t="str">
        <x:v>Interview Pattern Synthesis</x:v>
      </x:c>
      <x:c r="B2" s="41"/>
      <x:c r="C2" s="41"/>
      <x:c r="D2" s="41"/>
      <x:c r="E2" s="41"/>
      <x:c r="F2" s="41"/>
      <x:c r="G2" s="41"/>
    </x:row>
    <x:row r="3">
      <x:c r="A3" s="42"/>
      <x:c r="B3" s="42"/>
      <x:c r="C3" s="42"/>
      <x:c r="D3" s="42"/>
      <x:c r="E3" s="42"/>
      <x:c r="F3" s="42"/>
      <x:c r="G3" s="42"/>
    </x:row>
    <x:row r="4">
      <x:c r="A4" s="32" t="str">
        <x:v>Workflow category</x:v>
      </x:c>
      <x:c r="B4" s="32" t="str">
        <x:v>Participants mentioning</x:v>
      </x:c>
      <x:c r="C4" s="32" t="str">
        <x:v>Measurable impact</x:v>
      </x:c>
      <x:c r="D4" s="32" t="str">
        <x:v>Native tool insufficient</x:v>
      </x:c>
      <x:c r="E4" s="32" t="str">
        <x:v>Pilot yes</x:v>
      </x:c>
      <x:c r="F4" s="32" t="str">
        <x:v>Pilot yes or maybe</x:v>
      </x:c>
      <x:c r="G4" s="32" t="str">
        <x:v>Decision notes</x:v>
      </x:c>
    </x:row>
    <x:row r="5" ht="38" customHeight="1">
      <x:c r="A5" s="44" t="str">
        <x:v>Billing or account status</x:v>
      </x:c>
      <x:c r="B5" s="44" t="n">
        <x:f>COUNTIFS('Interview Evidence'!$F$2:$F$13,$A5)</x:f>
        <x:v>0</x:v>
      </x:c>
      <x:c r="C5" s="44" t="n">
        <x:f>COUNTIFS('Interview Evidence'!$F$2:$F$13,$A5,'Interview Evidence'!$J$2:$J$13,"Yes")</x:f>
        <x:v>0</x:v>
      </x:c>
      <x:c r="D5" s="44" t="n">
        <x:f>COUNTIFS('Interview Evidence'!$F$2:$F$13,$A5,'Interview Evidence'!$M$2:$M$13,"No")</x:f>
        <x:v>0</x:v>
      </x:c>
      <x:c r="E5" s="44" t="n">
        <x:f>COUNTIFS('Interview Evidence'!$F$2:$F$13,$A5,'Interview Evidence'!$Q$2:$Q$13,"Yes")</x:f>
        <x:v>0</x:v>
      </x:c>
      <x:c r="F5" s="44" t="n">
        <x:f>COUNTIFS('Interview Evidence'!$F$2:$F$13,$A5,'Interview Evidence'!$Q$2:$Q$13,"Yes")+COUNTIFS('Interview Evidence'!$F$2:$F$13,$A5,'Interview Evidence'!$Q$2:$Q$13,"Maybe")</x:f>
        <x:v>0</x:v>
      </x:c>
      <x:c r="G5" s="45"/>
    </x:row>
    <x:row r="6" ht="38" customHeight="1">
      <x:c r="A6" s="44" t="str">
        <x:v>Entitlement or access</x:v>
      </x:c>
      <x:c r="B6" s="44" t="n">
        <x:f>COUNTIFS('Interview Evidence'!$F$2:$F$13,$A6)</x:f>
        <x:v>1</x:v>
      </x:c>
      <x:c r="C6" s="44" t="n">
        <x:f>COUNTIFS('Interview Evidence'!$F$2:$F$13,$A6,'Interview Evidence'!$J$2:$J$13,"Yes")</x:f>
        <x:v>1</x:v>
      </x:c>
      <x:c r="D6" s="44" t="n">
        <x:f>COUNTIFS('Interview Evidence'!$F$2:$F$13,$A6,'Interview Evidence'!$M$2:$M$13,"No")</x:f>
        <x:v>1</x:v>
      </x:c>
      <x:c r="E6" s="44" t="n">
        <x:f>COUNTIFS('Interview Evidence'!$F$2:$F$13,$A6,'Interview Evidence'!$Q$2:$Q$13,"Yes")</x:f>
        <x:v>0</x:v>
      </x:c>
      <x:c r="F6" s="44" t="n">
        <x:f>COUNTIFS('Interview Evidence'!$F$2:$F$13,$A6,'Interview Evidence'!$Q$2:$Q$13,"Yes")+COUNTIFS('Interview Evidence'!$F$2:$F$13,$A6,'Interview Evidence'!$Q$2:$Q$13,"Maybe")</x:f>
        <x:v>0</x:v>
      </x:c>
      <x:c r="G6" s="45" t="str">
        <x:v>P02: regulated account-access case; 15 minutes of duplicate logging and a 4-6-hour approval wait. Buying and pilot evidence were not collected.</x:v>
      </x:c>
    </x:row>
    <x:row r="7" ht="38" customHeight="1">
      <x:c r="A7" s="44" t="str">
        <x:v>Subscription change</x:v>
      </x:c>
      <x:c r="B7" s="44" t="n">
        <x:f>COUNTIFS('Interview Evidence'!$F$2:$F$13,$A7)</x:f>
        <x:v>0</x:v>
      </x:c>
      <x:c r="C7" s="44" t="n">
        <x:f>COUNTIFS('Interview Evidence'!$F$2:$F$13,$A7,'Interview Evidence'!$J$2:$J$13,"Yes")</x:f>
        <x:v>0</x:v>
      </x:c>
      <x:c r="D7" s="44" t="n">
        <x:f>COUNTIFS('Interview Evidence'!$F$2:$F$13,$A7,'Interview Evidence'!$M$2:$M$13,"No")</x:f>
        <x:v>0</x:v>
      </x:c>
      <x:c r="E7" s="44" t="n">
        <x:f>COUNTIFS('Interview Evidence'!$F$2:$F$13,$A7,'Interview Evidence'!$Q$2:$Q$13,"Yes")</x:f>
        <x:v>0</x:v>
      </x:c>
      <x:c r="F7" s="44" t="n">
        <x:f>COUNTIFS('Interview Evidence'!$F$2:$F$13,$A7,'Interview Evidence'!$Q$2:$Q$13,"Yes")+COUNTIFS('Interview Evidence'!$F$2:$F$13,$A7,'Interview Evidence'!$Q$2:$Q$13,"Maybe")</x:f>
        <x:v>0</x:v>
      </x:c>
      <x:c r="G7" s="45"/>
    </x:row>
    <x:row r="8" ht="66" customHeight="1">
      <x:c r="A8" s="44" t="str">
        <x:v>Knowledge or context</x:v>
      </x:c>
      <x:c r="B8" s="44" t="n">
        <x:f>COUNTIFS('Interview Evidence'!$F$2:$F$13,$A8)</x:f>
        <x:v>2</x:v>
      </x:c>
      <x:c r="C8" s="44" t="n">
        <x:f>COUNTIFS('Interview Evidence'!$F$2:$F$13,$A8,'Interview Evidence'!$J$2:$J$13,"Yes")</x:f>
        <x:v>1</x:v>
      </x:c>
      <x:c r="D8" s="44" t="n">
        <x:f>COUNTIFS('Interview Evidence'!$F$2:$F$13,$A8,'Interview Evidence'!$M$2:$M$13,"No")</x:f>
        <x:v>2</x:v>
      </x:c>
      <x:c r="E8" s="44" t="n">
        <x:f>COUNTIFS('Interview Evidence'!$F$2:$F$13,$A8,'Interview Evidence'!$Q$2:$Q$13,"Yes")</x:f>
        <x:v>0</x:v>
      </x:c>
      <x:c r="F8" s="44" t="n">
        <x:f>COUNTIFS('Interview Evidence'!$F$2:$F$13,$A8,'Interview Evidence'!$Q$2:$Q$13,"Yes")+COUNTIFS('Interview Evidence'!$F$2:$F$13,$A8,'Interview Evidence'!$Q$2:$Q$13,"Maybe")</x:f>
        <x:v>1</x:v>
      </x:c>
      <x:c r="G8" s="45" t="str">
        <x:v>P01 and P04: complex escalation context must move across helpdesk, CRM and collaboration or engineering systems. P01 reported 20-25 minutes of context gathering; P04 reported manual Zendesk-to-Jira reconstruction without a time estimate. Buying evidence was not collected.</x:v>
      </x:c>
    </x:row>
    <x:row r="9" ht="38" customHeight="1">
      <x:c r="A9" s="44" t="str">
        <x:v>Order or delivery</x:v>
      </x:c>
      <x:c r="B9" s="44" t="n">
        <x:f>COUNTIFS('Interview Evidence'!$F$2:$F$13,$A9)</x:f>
        <x:v>0</x:v>
      </x:c>
      <x:c r="C9" s="44" t="n">
        <x:f>COUNTIFS('Interview Evidence'!$F$2:$F$13,$A9,'Interview Evidence'!$J$2:$J$13,"Yes")</x:f>
        <x:v>0</x:v>
      </x:c>
      <x:c r="D9" s="44" t="n">
        <x:f>COUNTIFS('Interview Evidence'!$F$2:$F$13,$A9,'Interview Evidence'!$M$2:$M$13,"No")</x:f>
        <x:v>0</x:v>
      </x:c>
      <x:c r="E9" s="44" t="n">
        <x:f>COUNTIFS('Interview Evidence'!$F$2:$F$13,$A9,'Interview Evidence'!$Q$2:$Q$13,"Yes")</x:f>
        <x:v>0</x:v>
      </x:c>
      <x:c r="F9" s="44" t="n">
        <x:f>COUNTIFS('Interview Evidence'!$F$2:$F$13,$A9,'Interview Evidence'!$Q$2:$Q$13,"Yes")+COUNTIFS('Interview Evidence'!$F$2:$F$13,$A9,'Interview Evidence'!$Q$2:$Q$13,"Maybe")</x:f>
        <x:v>0</x:v>
      </x:c>
      <x:c r="G9" s="45"/>
    </x:row>
    <x:row r="10" ht="57" customHeight="1">
      <x:c r="A10" s="44" t="str">
        <x:v>Other</x:v>
      </x:c>
      <x:c r="B10" s="44" t="n">
        <x:f>COUNTIFS('Interview Evidence'!$F$2:$F$13,$A10)</x:f>
        <x:v>1</x:v>
      </x:c>
      <x:c r="C10" s="44" t="n">
        <x:f>COUNTIFS('Interview Evidence'!$F$2:$F$13,$A10,'Interview Evidence'!$J$2:$J$13,"Yes")</x:f>
        <x:v>0</x:v>
      </x:c>
      <x:c r="D10" s="44" t="n">
        <x:f>COUNTIFS('Interview Evidence'!$F$2:$F$13,$A10,'Interview Evidence'!$M$2:$M$13,"No")</x:f>
        <x:v>0</x:v>
      </x:c>
      <x:c r="E10" s="44" t="n">
        <x:f>COUNTIFS('Interview Evidence'!$F$2:$F$13,$A10,'Interview Evidence'!$Q$2:$Q$13,"Yes")</x:f>
        <x:v>0</x:v>
      </x:c>
      <x:c r="F10" s="44" t="n">
        <x:f>COUNTIFS('Interview Evidence'!$F$2:$F$13,$A10,'Interview Evidence'!$Q$2:$Q$13,"Yes")+COUNTIFS('Interview Evidence'!$F$2:$F$13,$A10,'Interview Evidence'!$Q$2:$Q$13,"Maybe")</x:f>
        <x:v>0</x:v>
      </x:c>
      <x:c r="G10" s="45" t="str">
        <x:v>P03: a mid-market application stakeholder approved a one-month Zendesk analytics pilot only after limiting it to two queues and disabling write-back. This supports least-privilege pilot design, not demand for the proposed product.</x:v>
      </x:c>
    </x:row>
    <x:row r="11">
      <x:c r="A11" s="6" t="str">
        <x:v>Largest repeated-workflow count</x:v>
      </x:c>
      <x:c r="B11" s="52" t="n">
        <x:f>MAX(B5:B10)</x:f>
        <x:v>2</x:v>
      </x:c>
      <x:c r="C11" s="29"/>
      <x:c r="D11" s="29"/>
      <x:c r="E11" s="29"/>
      <x:c r="F11" s="29"/>
      <x:c r="G11" s="29"/>
    </x:row>
    <x:row r="12">
      <x:c r="A12" s="8" t="str">
        <x:v>Native-tool insufficiency for leading workflow</x:v>
      </x:c>
      <x:c r="B12" s="9" t="n">
        <x:f>IF(B11=0,0,INDEX(D5:D10,MATCH(B11,B5:B10,0)))</x:f>
        <x:v>2</x:v>
      </x:c>
      <x:c r="C12" s="29"/>
      <x:c r="D12" s="29"/>
      <x:c r="E12" s="29"/>
      <x:c r="F12" s="29"/>
      <x:c r="G12" s="29"/>
    </x:row>
    <x:row r="13">
      <x:c r="A13" s="10" t="str">
        <x:v>Strong pilot-interest count</x:v>
      </x:c>
      <x:c r="B13" s="11" t="n">
        <x:f>SUM(E5:E10)</x:f>
        <x:v>0</x:v>
      </x:c>
      <x:c r="C13" s="29"/>
      <x:c r="D13" s="29"/>
      <x:c r="E13" s="29"/>
      <x:c r="F13" s="29"/>
      <x:c r="G13" s="29"/>
    </x:row>
    <x:row r="14">
      <x:c r="A14" s="29"/>
      <x:c r="B14" s="29"/>
      <x:c r="C14" s="29"/>
      <x:c r="D14" s="29"/>
      <x:c r="E14" s="29"/>
      <x:c r="F14" s="29"/>
      <x:c r="G14" s="29"/>
    </x:row>
    <x:row r="15">
      <x:c r="A15" s="29"/>
      <x:c r="B15" s="29"/>
      <x:c r="C15" s="29"/>
      <x:c r="D15" s="29"/>
      <x:c r="E15" s="29"/>
      <x:c r="F15" s="29"/>
      <x:c r="G15" s="29"/>
    </x:row>
    <x:row r="16">
      <x:c r="A16" s="32" t="str">
        <x:v>Decision gate</x:v>
      </x:c>
      <x:c r="B16" s="32" t="str">
        <x:v>Proposed threshold</x:v>
      </x:c>
      <x:c r="C16" s="32" t="str">
        <x:v>Observed</x:v>
      </x:c>
      <x:c r="D16" s="32" t="str">
        <x:v>Status</x:v>
      </x:c>
      <x:c r="E16" s="29"/>
      <x:c r="F16" s="29"/>
      <x:c r="G16" s="29"/>
    </x:row>
    <x:row r="17" ht="38" customHeight="1">
      <x:c r="A17" s="44" t="str">
        <x:v>Repeated workflow</x:v>
      </x:c>
      <x:c r="B17" s="44" t="str">
        <x:v>At least 4 participants</x:v>
      </x:c>
      <x:c r="C17" s="44" t="n">
        <x:f>B11</x:f>
        <x:v>2</x:v>
      </x:c>
      <x:c r="D17" s="44" t="str">
        <x:f>IF(C17&gt;=4,"Met","Not met")</x:f>
        <x:v>Not met</x:v>
      </x:c>
      <x:c r="E17" s="29"/>
      <x:c r="F17" s="29"/>
      <x:c r="G17" s="29"/>
    </x:row>
    <x:row r="18" ht="38" customHeight="1">
      <x:c r="A18" s="44" t="str">
        <x:v>Measurable impact for leading workflow</x:v>
      </x:c>
      <x:c r="B18" s="44" t="str">
        <x:v>At least 3 participants</x:v>
      </x:c>
      <x:c r="C18" s="44" t="n">
        <x:f>IF(B11=0,0,INDEX(C5:C10,MATCH(B11,B5:B10,0)))</x:f>
        <x:v>1</x:v>
      </x:c>
      <x:c r="D18" s="44" t="str">
        <x:f>IF(C18&gt;=3,"Met","Not met")</x:f>
        <x:v>Not met</x:v>
      </x:c>
      <x:c r="E18" s="29"/>
      <x:c r="F18" s="29"/>
      <x:c r="G18" s="29"/>
    </x:row>
    <x:row r="19" ht="38" customHeight="1">
      <x:c r="A19" s="44" t="str">
        <x:v>Native tool insufficient for leading workflow</x:v>
      </x:c>
      <x:c r="B19" s="44" t="str">
        <x:v>At least 3 participants</x:v>
      </x:c>
      <x:c r="C19" s="44" t="n">
        <x:f>B12</x:f>
        <x:v>2</x:v>
      </x:c>
      <x:c r="D19" s="44" t="str">
        <x:f>IF(C19&gt;=3,"Met","Not met")</x:f>
        <x:v>Not met</x:v>
      </x:c>
      <x:c r="E19" s="29"/>
      <x:c r="F19" s="29"/>
      <x:c r="G19" s="29"/>
    </x:row>
    <x:row r="20" ht="38" customHeight="1">
      <x:c r="A20" s="44" t="str">
        <x:v>Strong pilot interest</x:v>
      </x:c>
      <x:c r="B20" s="44" t="str">
        <x:v>At least 2 participants</x:v>
      </x:c>
      <x:c r="C20" s="44" t="n">
        <x:f>B13</x:f>
        <x:v>0</x:v>
      </x:c>
      <x:c r="D20" s="44" t="str">
        <x:f>IF(C20&gt;=2,"Met","Not met")</x:f>
        <x:v>Not met</x:v>
      </x:c>
      <x:c r="E20" s="29"/>
      <x:c r="F20" s="29"/>
      <x:c r="G20" s="29"/>
    </x:row>
    <x:row r="21">
      <x:c r="A21" s="29"/>
      <x:c r="B21" s="29"/>
      <x:c r="C21" s="29"/>
      <x:c r="D21" s="29"/>
      <x:c r="E21" s="29"/>
      <x:c r="F21" s="29"/>
      <x:c r="G21" s="29"/>
    </x:row>
    <x:row r="22" ht="40" customHeight="1">
      <x:c r="A22" s="53" t="str">
        <x:v>Proceed condition</x:v>
      </x:c>
      <x:c r="B22" s="30" t="str">
        <x:v>Review the separate-layer strategy only when all four gates are met and the interview examples are credible.</x:v>
      </x:c>
      <x:c r="C22" s="29"/>
      <x:c r="D22" s="29"/>
      <x:c r="E22" s="29"/>
      <x:c r="F22" s="29"/>
      <x:c r="G22" s="29"/>
    </x:row>
    <x:row r="23" ht="40" customHeight="1">
      <x:c r="A23" s="53" t="str">
        <x:v>If gates are not met</x:v>
      </x:c>
      <x:c r="B23" s="30" t="str">
        <x:v>Narrow the workflow, use the incumbent helpdesk AI, or reject the separate-product hypothesis.</x:v>
      </x:c>
      <x:c r="C23" s="29"/>
      <x:c r="D23" s="29"/>
      <x:c r="E23" s="29"/>
      <x:c r="F23" s="29"/>
      <x:c r="G23" s="29"/>
    </x:row>
    <x:row r="24" ht="40" customHeight="1">
      <x:c r="A24" s="53" t="str">
        <x:v>Evidence rule</x:v>
      </x:c>
      <x:c r="B24" s="30" t="str">
        <x:v>These thresholds are working decision rules, not statistical proof. Preserve contradictory interviews and limitations.</x:v>
      </x:c>
      <x:c r="C24" s="29"/>
      <x:c r="D24" s="29"/>
      <x:c r="E24" s="29"/>
      <x:c r="F24" s="29"/>
      <x:c r="G24" s="29"/>
    </x:row>
  </x:sheetData>
  <x:mergeCells>
    <x:mergeCell ref="A2:G2"/>
    <x:mergeCell ref="B22:G22"/>
    <x:mergeCell ref="B23:G23"/>
    <x:mergeCell ref="B24:G24"/>
  </x:mergeCells>
  <x:conditionalFormatting sqref="D17:D20">
    <x:cfRule type="expression" dxfId="0" priority="1">
      <x:formula>$D17="Met"</x:formula>
    </x:cfRule>
    <x:cfRule type="expression" dxfId="1" priority="2">
      <x:formula>$D17="Not met"</x:formula>
    </x:cfRule>
  </x:conditionalFormatting>
  <x:pageMargins left="0.7" right="0.7" top="0.75" bottom="0.75" header="0.3" footer="0.3"/>
</x:worksheet>
</file>
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drawings/drawing1.xml" ContentType="application/vnd.openxmlformats-officedocument.drawing+xml"/>
  <Override PartName="/xl/drawings/charts/chart1.xml" ContentType="application/vnd.openxmlformats-officedocument.drawingml.chart+xml"/>
  <Override PartName="/xl/drawings/charts/chart2.xml" ContentType="application/vnd.openxmlformats-officedocument.drawingml.chart+xml"/>
</Types>
</file>

<file path=_rels/.rels>&#65279;<?xml version="1.0" encoding="utf-8"?><Relationships xmlns="http://schemas.openxmlformats.org/package/2006/relationships"><Relationship Type="http://schemas.openxmlformats.org/officeDocument/2006/relationships/officeDocument" Target="/xl/workbook.xml" Id="R2cc3327e1b764862" /></Relationships>
</file>

<file path=xl/workbook.xml><?xml version="1.0" encoding="utf-8"?>
<x:workbook xmlns:x="http://schemas.openxmlformats.org/spreadsheetml/2006/main">
  <x:sheets>
    <x:sheet xmlns:r="http://schemas.openxmlformats.org/officeDocument/2006/relationships" name="Summary" sheetId="1" r:id="Re7b97e5ba40d492f"/>
    <x:sheet xmlns:r="http://schemas.openxmlformats.org/officeDocument/2006/relationships" name="Hypotheses" sheetId="2" r:id="R88bca97aedaf4eae"/>
    <x:sheet xmlns:r="http://schemas.openxmlformats.org/officeDocument/2006/relationships" name="Evidence" sheetId="3" r:id="R47b3d33ed07d456d"/>
    <x:sheet xmlns:r="http://schemas.openxmlformats.org/officeDocument/2006/relationships" name="Sources" sheetId="4" r:id="Rcb6111ba03c14ed5"/>
    <x:sheet xmlns:r="http://schemas.openxmlformats.org/officeDocument/2006/relationships" name="Dashboard" sheetId="5" r:id="R25514e2f7e02458c"/>
  </x:sheets>
</x: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0"/>
  </x:numFmts>
  <x:fonts count="26">
    <x:font>
      <x:sz val="11"/>
      <x:name val="Carlito"/>
    </x:font>
    <x:font>
      <x:sz val="10"/>
      <x:color rgb="FF20262D"/>
      <x:name val="Arial"/>
    </x:font>
    <x:font>
      <x:b/>
      <x:sz val="16"/>
      <x:color rgb="FF18324A"/>
      <x:name val="Arial"/>
    </x:font>
    <x:font>
      <x:b/>
      <x:sz val="10"/>
      <x:color rgb="FF18324A"/>
      <x:name val="Arial"/>
    </x:font>
    <x:font>
      <x:b/>
      <x:sz val="12"/>
      <x:color rgb="FF2F6690"/>
      <x:name val="Arial"/>
    </x:font>
    <x:font>
      <x:b/>
      <x:sz val="10"/>
      <x:color rgb="FFFFFFFF"/>
      <x:name val="Arial"/>
    </x:font>
    <x:font>
      <x:sz val="11"/>
      <x:color rgb="FF18324A"/>
      <x:name val="Arial"/>
    </x:font>
    <x:font>
      <x:sz val="10"/>
      <x:color rgb="FF5F6B76"/>
      <x:name val="Arial"/>
    </x:font>
    <x:font>
      <x:b/>
      <x:sz val="8"/>
      <x:color rgb="FF1F2937"/>
      <x:name val="Arial"/>
    </x:font>
    <x:font>
      <x:sz val="8"/>
      <x:color rgb="FF1F2937"/>
      <x:name val="Arial"/>
    </x:font>
    <x:font>
      <x:b/>
      <x:sz val="9"/>
      <x:color rgb="FFFFFFFF"/>
      <x:name val="Arial"/>
    </x:font>
    <x:font>
      <x:b/>
      <x:sz val="9"/>
      <x:color rgb="FF1F2937"/>
      <x:name val="Arial"/>
    </x:font>
    <x:font>
      <x:sz val="9"/>
      <x:color rgb="FF1F2937"/>
      <x:name val="Arial"/>
    </x:font>
    <x:font>
      <x:sz val="10"/>
      <x:color rgb="FF1F2937"/>
      <x:name val="Arial"/>
    </x:font>
    <x:font>
      <x:b/>
      <x:sz val="16"/>
      <x:color rgb="FF17324D"/>
      <x:name val="Arial"/>
    </x:font>
    <x:font>
      <x:i/>
      <x:sz val="9"/>
      <x:color rgb="FF5B6776"/>
      <x:name val="Arial"/>
    </x:font>
    <x:font>
      <x:b/>
      <x:sz val="9"/>
      <x:color rgb="FF17324D"/>
      <x:name val="Arial"/>
    </x:font>
    <x:font>
      <x:b/>
      <x:sz val="16"/>
      <x:color rgb="FF2F6B96"/>
      <x:name val="Arial"/>
    </x:font>
    <x:font>
      <x:sz val="8"/>
      <x:color rgb="FF5B6776"/>
      <x:name val="Arial"/>
    </x:font>
    <x:font>
      <x:b/>
      <x:sz val="16"/>
      <x:color rgb="FF1F6B42"/>
      <x:name val="Arial"/>
    </x:font>
    <x:font>
      <x:b/>
      <x:sz val="16"/>
      <x:color rgb="FF9C6500"/>
      <x:name val="Arial"/>
    </x:font>
    <x:font>
      <x:sz val="11"/>
      <x:color rgb="FF17324D"/>
      <x:name val="Arial"/>
    </x:font>
    <x:font>
      <x:sz val="9"/>
      <x:color rgb="FF1F6B42"/>
      <x:name val="Arial"/>
    </x:font>
    <x:font>
      <x:sz val="9"/>
      <x:color rgb="FFC00000"/>
      <x:name val="Arial"/>
    </x:font>
    <x:font>
      <x:sz val="9"/>
      <x:color rgb="FF9C6500"/>
      <x:name val="Arial"/>
    </x:font>
    <x:font>
      <x:sz val="10"/>
      <x:color rgb="FF17324D"/>
      <x:name val="Arial"/>
    </x:font>
  </x:fonts>
  <x:fills count="17">
    <x:fill>
      <x:patternFill patternType="none"/>
    </x:fill>
    <x:fill>
      <x:patternFill patternType="gray125"/>
    </x:fill>
    <x:fill>
      <x:patternFill patternType="solid">
        <x:fgColor rgb="FF18324A"/>
      </x:patternFill>
    </x:fill>
    <x:fill>
      <x:patternFill patternType="solid">
        <x:fgColor rgb="FFEAF2F8"/>
      </x:patternFill>
    </x:fill>
    <x:fill>
      <x:patternFill patternType="solid">
        <x:fgColor rgb="FF2F6690"/>
      </x:patternFill>
    </x:fill>
    <x:fill>
      <x:patternFill patternType="solid">
        <x:fgColor rgb="FFF6F8FA"/>
      </x:patternFill>
    </x:fill>
    <x:fill>
      <x:patternFill patternType="solid">
        <x:fgColor rgb="FF18324A"/>
      </x:patternFill>
    </x:fill>
    <x:fill>
      <x:patternFill patternType="solid">
        <x:fgColor rgb="FF18324A"/>
      </x:patternFill>
    </x:fill>
    <x:fill>
      <x:patternFill patternType="solid">
        <x:fgColor rgb="FF17324D"/>
      </x:patternFill>
    </x:fill>
    <x:fill>
      <x:patternFill patternType="solid">
        <x:fgColor rgb="FFFFFFFF"/>
      </x:patternFill>
    </x:fill>
    <x:fill>
      <x:patternFill patternType="solid">
        <x:fgColor rgb="FFF3F8FC"/>
      </x:patternFill>
    </x:fill>
    <x:fill>
      <x:patternFill patternType="solid">
        <x:fgColor rgb="FFE2F0D9"/>
      </x:patternFill>
    </x:fill>
    <x:fill>
      <x:patternFill patternType="solid">
        <x:fgColor rgb="FFFFF2CC"/>
      </x:patternFill>
    </x:fill>
    <x:fill>
      <x:patternFill patternType="solid">
        <x:fgColor rgb="FF17324D"/>
      </x:patternFill>
    </x:fill>
    <x:fill>
      <x:patternFill patternType="solid">
        <x:fgColor rgb="FFDDEBF7"/>
      </x:patternFill>
    </x:fill>
    <x:fill>
      <x:patternFill patternType="solid">
        <x:fgColor rgb="FF2F6B96"/>
      </x:patternFill>
    </x:fill>
    <x:fill>
      <x:patternFill patternType="solid">
        <x:fgColor rgb="FFFCE4D6"/>
      </x:patternFill>
    </x:fill>
  </x:fills>
  <x:borders count="43">
    <x:border/>
    <x:border>
      <x:bottom style="thin">
        <x:color rgb="FF2F6690"/>
      </x:bottom>
    </x:border>
    <x:border>
      <x:left style="thin">
        <x:color rgb="FFD9E0E6"/>
      </x:left>
      <x:top style="thin">
        <x:color rgb="FFD9E0E6"/>
      </x:top>
    </x:border>
    <x:border>
      <x:right style="thin">
        <x:color rgb="FFD9E0E6"/>
      </x:right>
      <x:top style="thin">
        <x:color rgb="FFD9E0E6"/>
      </x:top>
    </x:border>
    <x:border>
      <x:left style="thin">
        <x:color rgb="FFD9E0E6"/>
      </x:left>
    </x:border>
    <x:border>
      <x:right style="thin">
        <x:color rgb="FFD9E0E6"/>
      </x:right>
    </x:border>
    <x:border>
      <x:left style="thin">
        <x:color rgb="FFD9E0E6"/>
      </x:left>
      <x:bottom style="thin">
        <x:color rgb="FFD9E0E6"/>
      </x:bottom>
    </x:border>
    <x:border>
      <x:right style="thin">
        <x:color rgb="FFD9E0E6"/>
      </x:right>
      <x:bottom style="thin">
        <x:color rgb="FFD9E0E6"/>
      </x:bottom>
    </x:border>
    <x:border>
      <x:left style="thin">
        <x:color rgb="FF2F6690"/>
      </x:left>
      <x:top style="thin">
        <x:color rgb="FF2F6690"/>
      </x:top>
    </x:border>
    <x:border>
      <x:top style="thin">
        <x:color rgb="FF2F6690"/>
      </x:top>
    </x:border>
    <x:border>
      <x:right style="thin">
        <x:color rgb="FF2F6690"/>
      </x:right>
      <x:top style="thin">
        <x:color rgb="FF2F6690"/>
      </x:top>
    </x:border>
    <x:border>
      <x:left style="thin">
        <x:color rgb="FF2F6690"/>
      </x:left>
    </x:border>
    <x:border>
      <x:right style="thin">
        <x:color rgb="FF2F6690"/>
      </x:right>
    </x:border>
    <x:border>
      <x:left style="thin">
        <x:color rgb="FF2F6690"/>
      </x:left>
      <x:bottom style="thin">
        <x:color rgb="FF2F6690"/>
      </x:bottom>
    </x:border>
    <x:border>
      <x:right style="thin">
        <x:color rgb="FF2F6690"/>
      </x:right>
      <x:bottom style="thin">
        <x:color rgb="FF2F6690"/>
      </x:bottom>
    </x:border>
    <x:border>
      <x:bottom style="thin">
        <x:color rgb="FFD9E0E6"/>
      </x:bottom>
    </x:border>
    <x:border>
      <x:top style="thin">
        <x:color rgb="FFD9E0E6"/>
      </x:top>
      <x:bottom style="thin">
        <x:color rgb="FFD9E0E6"/>
      </x:bottom>
    </x:border>
    <x:border>
      <x:top style="thin">
        <x:color rgb="FFD9E0E6"/>
      </x:top>
    </x:border>
    <x:border>
      <x:bottom style="thin">
        <x:color rgb="FF2F6B96"/>
      </x:bottom>
    </x:border>
    <x:border>
      <x:left style="thin">
        <x:color rgb="FFBDD2E5"/>
      </x:left>
      <x:top style="thin">
        <x:color rgb="FFBDD2E5"/>
      </x:top>
    </x:border>
    <x:border>
      <x:top style="thin">
        <x:color rgb="FFBDD2E5"/>
      </x:top>
    </x:border>
    <x:border>
      <x:right style="thin">
        <x:color rgb="FFBDD2E5"/>
      </x:right>
      <x:top style="thin">
        <x:color rgb="FFBDD2E5"/>
      </x:top>
    </x:border>
    <x:border>
      <x:left style="thin">
        <x:color rgb="FFBDD2E5"/>
      </x:left>
    </x:border>
    <x:border>
      <x:right style="thin">
        <x:color rgb="FFBDD2E5"/>
      </x:right>
    </x:border>
    <x:border>
      <x:left style="thin">
        <x:color rgb="FFBDD2E5"/>
      </x:left>
      <x:bottom style="thin">
        <x:color rgb="FFBDD2E5"/>
      </x:bottom>
    </x:border>
    <x:border>
      <x:bottom style="thin">
        <x:color rgb="FFBDD2E5"/>
      </x:bottom>
    </x:border>
    <x:border>
      <x:right style="thin">
        <x:color rgb="FFBDD2E5"/>
      </x:right>
      <x:bottom style="thin">
        <x:color rgb="FFBDD2E5"/>
      </x:bottom>
    </x:border>
    <x:border>
      <x:left style="thin">
        <x:color rgb="FF2F6B96"/>
      </x:left>
      <x:top style="thin">
        <x:color rgb="FF2F6B96"/>
      </x:top>
    </x:border>
    <x:border>
      <x:top style="thin">
        <x:color rgb="FF2F6B96"/>
      </x:top>
    </x:border>
    <x:border>
      <x:right style="thin">
        <x:color rgb="FF2F6B96"/>
      </x:right>
      <x:top style="thin">
        <x:color rgb="FF2F6B96"/>
      </x:top>
    </x:border>
    <x:border>
      <x:left style="thin">
        <x:color rgb="FF2F6B96"/>
      </x:left>
    </x:border>
    <x:border>
      <x:right style="thin">
        <x:color rgb="FF2F6B96"/>
      </x:right>
    </x:border>
    <x:border>
      <x:left style="thin">
        <x:color rgb="FF2F6B96"/>
      </x:left>
      <x:bottom style="thin">
        <x:color rgb="FF2F6B96"/>
      </x:bottom>
    </x:border>
    <x:border>
      <x:right style="thin">
        <x:color rgb="FF2F6B96"/>
      </x:right>
      <x:bottom style="thin">
        <x:color rgb="FF2F6B96"/>
      </x:bottom>
    </x:border>
    <x:border>
      <x:bottom style="thin">
        <x:color rgb="FFD9E4ED"/>
      </x:bottom>
    </x:border>
    <x:border>
      <x:top style="thin">
        <x:color rgb="FFD9E4ED"/>
      </x:top>
      <x:bottom style="thin">
        <x:color rgb="FFD9E4ED"/>
      </x:bottom>
    </x:border>
    <x:border>
      <x:top style="thin">
        <x:color rgb="FFD9E4ED"/>
      </x:top>
    </x:border>
    <x:border>
      <x:left style="thin">
        <x:color rgb="FFFFFFFF"/>
      </x:left>
      <x:top style="thin">
        <x:color rgb="FFFFFFFF"/>
      </x:top>
      <x:bottom style="thin">
        <x:color rgb="FFFFFFFF"/>
      </x:bottom>
    </x:border>
    <x:border>
      <x:top style="thin">
        <x:color rgb="FFFFFFFF"/>
      </x:top>
      <x:bottom style="thin">
        <x:color rgb="FFFFFFFF"/>
      </x:bottom>
    </x:border>
    <x:border>
      <x:right style="thin">
        <x:color rgb="FFFFFFFF"/>
      </x:right>
      <x:top style="thin">
        <x:color rgb="FFFFFFFF"/>
      </x:top>
      <x:bottom style="thin">
        <x:color rgb="FFFFFFFF"/>
      </x:bottom>
    </x:border>
    <x:border>
      <x:left style="thin">
        <x:color rgb="FFBDD2E5"/>
      </x:left>
      <x:top style="thin">
        <x:color rgb="FFBDD2E5"/>
      </x:top>
      <x:bottom style="thin">
        <x:color rgb="FFBDD2E5"/>
      </x:bottom>
    </x:border>
    <x:border>
      <x:top style="thin">
        <x:color rgb="FFBDD2E5"/>
      </x:top>
      <x:bottom style="thin">
        <x:color rgb="FFBDD2E5"/>
      </x:bottom>
    </x:border>
    <x:border>
      <x:right style="thin">
        <x:color rgb="FFBDD2E5"/>
      </x:right>
      <x:top style="thin">
        <x:color rgb="FFBDD2E5"/>
      </x:top>
      <x:bottom style="thin">
        <x:color rgb="FFBDD2E5"/>
      </x:bottom>
    </x:border>
  </x:borders>
  <x:cellStyleXfs count="1">
    <x:xf numFmtId="0" fontId="0" fillId="0" borderId="0"/>
  </x:cellStyleXfs>
  <x:cellXfs count="298">
    <x:xf numFmtId="0" fontId="0" fillId="0" borderId="0" xfId="0"/>
    <x:xf numFmtId="0" fontId="1" fillId="0" borderId="0" xfId="0" applyNumberFormat="1" applyFont="1" applyFill="1" applyBorder="1"/>
    <x:xf numFmtId="0" fontId="2" fillId="0" borderId="0" xfId="0" applyNumberFormat="1" applyFont="1" applyFill="1" applyBorder="1"/>
    <x:xf numFmtId="0" fontId="1" fillId="0" borderId="1" xfId="0" applyNumberFormat="1" applyFont="1" applyFill="1" applyBorder="1"/>
    <x:xf numFmtId="0" fontId="3" fillId="0" borderId="0" xfId="0" applyNumberFormat="1" applyFont="1" applyFill="1" applyBorder="1"/>
    <x:xf numFmtId="0" fontId="4" fillId="0" borderId="0" xfId="0" applyNumberFormat="1" applyFont="1" applyFill="1" applyBorder="1"/>
    <x:xf numFmtId="0" fontId="3" fillId="0" borderId="2" xfId="0" applyNumberFormat="1" applyFont="1" applyFill="1" applyBorder="1"/>
    <x:xf numFmtId="0" fontId="4" fillId="0" borderId="3" xfId="0" applyNumberFormat="1" applyFont="1" applyFill="1" applyBorder="1"/>
    <x:xf numFmtId="0" fontId="3" fillId="0" borderId="4" xfId="0" applyNumberFormat="1" applyFont="1" applyFill="1" applyBorder="1"/>
    <x:xf numFmtId="0" fontId="4" fillId="0" borderId="5" xfId="0" applyNumberFormat="1" applyFont="1" applyFill="1" applyBorder="1"/>
    <x:xf numFmtId="0" fontId="3" fillId="0" borderId="6" xfId="0" applyNumberFormat="1" applyFont="1" applyFill="1" applyBorder="1"/>
    <x:xf numFmtId="0" fontId="4" fillId="0" borderId="7" xfId="0" applyNumberFormat="1" applyFont="1" applyFill="1" applyBorder="1"/>
    <x:xf numFmtId="0" fontId="1" fillId="2" borderId="0" xfId="0" applyNumberFormat="1" applyFont="1" applyFill="1" applyBorder="1"/>
    <x:xf numFmtId="0" fontId="5" fillId="2" borderId="0" xfId="0" applyNumberFormat="1" applyFont="1" applyFill="1" applyBorder="1"/>
    <x:xf numFmtId="0" fontId="1" fillId="3" borderId="0" xfId="0" applyNumberFormat="1" applyFont="1" applyFill="1" applyBorder="1"/>
    <x:xf numFmtId="0" fontId="6" fillId="3" borderId="0" xfId="0" applyNumberFormat="1" applyFont="1" applyFill="1" applyBorder="1"/>
    <x:xf numFmtId="0" fontId="6" fillId="3" borderId="0" xfId="0" applyNumberFormat="1" applyFont="1" applyFill="1" applyBorder="1" applyAlignment="1">
      <x:alignment wrapText="1"/>
    </x:xf>
    <x:xf numFmtId="0" fontId="6" fillId="3" borderId="0" xfId="0" applyNumberFormat="1" applyFont="1" applyFill="1" applyBorder="1" applyAlignment="1">
      <x:alignment vertical="center" wrapText="1"/>
    </x:xf>
    <x:xf numFmtId="0" fontId="5" fillId="2" borderId="8" xfId="0" applyNumberFormat="1" applyFont="1" applyFill="1" applyBorder="1"/>
    <x:xf numFmtId="0" fontId="5" fillId="2" borderId="9" xfId="0" applyNumberFormat="1" applyFont="1" applyFill="1" applyBorder="1"/>
    <x:xf numFmtId="0" fontId="5" fillId="2" borderId="10" xfId="0" applyNumberFormat="1" applyFont="1" applyFill="1" applyBorder="1"/>
    <x:xf numFmtId="0" fontId="6" fillId="3" borderId="11" xfId="0" applyNumberFormat="1" applyFont="1" applyFill="1" applyBorder="1" applyAlignment="1">
      <x:alignment vertical="center" wrapText="1"/>
    </x:xf>
    <x:xf numFmtId="0" fontId="6" fillId="3" borderId="12" xfId="0" applyNumberFormat="1" applyFont="1" applyFill="1" applyBorder="1" applyAlignment="1">
      <x:alignment vertical="center" wrapText="1"/>
    </x:xf>
    <x:xf numFmtId="0" fontId="6" fillId="3" borderId="13" xfId="0" applyNumberFormat="1" applyFont="1" applyFill="1" applyBorder="1" applyAlignment="1">
      <x:alignment vertical="center" wrapText="1"/>
    </x:xf>
    <x:xf numFmtId="0" fontId="6" fillId="3" borderId="1" xfId="0" applyNumberFormat="1" applyFont="1" applyFill="1" applyBorder="1" applyAlignment="1">
      <x:alignment vertical="center" wrapText="1"/>
    </x:xf>
    <x:xf numFmtId="0" fontId="6" fillId="3" borderId="14" xfId="0" applyNumberFormat="1" applyFont="1" applyFill="1" applyBorder="1" applyAlignment="1">
      <x:alignment vertical="center" wrapText="1"/>
    </x:xf>
    <x:xf numFmtId="0" fontId="5" fillId="2" borderId="0" xfId="0" applyNumberFormat="1" applyFont="1" applyFill="1" applyBorder="1" applyAlignment="1">
      <x:alignment wrapText="1"/>
    </x:xf>
    <x:xf numFmtId="0" fontId="5" fillId="2" borderId="0" xfId="0" applyNumberFormat="1" applyFont="1" applyFill="1" applyBorder="1" applyAlignment="1">
      <x:alignment horizontal="center" wrapText="1"/>
    </x:xf>
    <x:xf numFmtId="0" fontId="5" fillId="2" borderId="0" xfId="0" applyNumberFormat="1" applyFont="1" applyFill="1" applyBorder="1" applyAlignment="1">
      <x:alignment horizontal="center" vertical="center" wrapText="1"/>
    </x:xf>
    <x:xf numFmtId="0" fontId="1" fillId="0" borderId="0" xfId="0" applyNumberFormat="1" applyFont="1" applyFill="1" applyBorder="1" applyAlignment="1">
      <x:alignment wrapText="1"/>
    </x:xf>
    <x:xf numFmtId="0" fontId="1" fillId="0" borderId="0" xfId="0" applyNumberFormat="1" applyFont="1" applyFill="1" applyBorder="1" applyAlignment="1">
      <x:alignment vertical="top" wrapText="1"/>
    </x:xf>
    <x:xf numFmtId="0" fontId="5" fillId="2" borderId="15" xfId="0" applyNumberFormat="1" applyFont="1" applyFill="1" applyBorder="1" applyAlignment="1">
      <x:alignment horizontal="center" vertical="center" wrapText="1"/>
    </x:xf>
    <x:xf numFmtId="0" fontId="1" fillId="0" borderId="16" xfId="0" applyNumberFormat="1" applyFont="1" applyFill="1" applyBorder="1" applyAlignment="1">
      <x:alignment vertical="top" wrapText="1"/>
    </x:xf>
    <x:xf numFmtId="0" fontId="1" fillId="4" borderId="0" xfId="0" applyNumberFormat="1" applyFont="1" applyFill="1" applyBorder="1"/>
    <x:xf numFmtId="0" fontId="5" fillId="4" borderId="0" xfId="0" applyNumberFormat="1" applyFont="1" applyFill="1" applyBorder="1"/>
    <x:xf numFmtId="0" fontId="1" fillId="5" borderId="0" xfId="0" applyNumberFormat="1" applyFont="1" applyFill="1" applyBorder="1"/>
    <x:xf numFmtId="0" fontId="7" fillId="5" borderId="0" xfId="0" applyNumberFormat="1" applyFont="1" applyFill="1" applyBorder="1"/>
    <x:xf numFmtId="0" fontId="7" fillId="5" borderId="0" xfId="0" applyNumberFormat="1" applyFont="1" applyFill="1" applyBorder="1" applyAlignment="1">
      <x:alignment wrapText="1"/>
    </x:xf>
    <x:xf numFmtId="0" fontId="7" fillId="5" borderId="0" xfId="0" applyNumberFormat="1" applyFont="1" applyFill="1" applyBorder="1" applyAlignment="1">
      <x:alignment vertical="center" wrapText="1"/>
    </x:xf>
    <x:xf numFmtId="0" fontId="5" fillId="4" borderId="2" xfId="0" applyNumberFormat="1" applyFont="1" applyFill="1" applyBorder="1"/>
    <x:xf numFmtId="0" fontId="5" fillId="4" borderId="17" xfId="0" applyNumberFormat="1" applyFont="1" applyFill="1" applyBorder="1"/>
    <x:xf numFmtId="0" fontId="5" fillId="4" borderId="3" xfId="0" applyNumberFormat="1" applyFont="1" applyFill="1" applyBorder="1"/>
    <x:xf numFmtId="0" fontId="7" fillId="5" borderId="4" xfId="0" applyNumberFormat="1" applyFont="1" applyFill="1" applyBorder="1" applyAlignment="1">
      <x:alignment vertical="center" wrapText="1"/>
    </x:xf>
    <x:xf numFmtId="0" fontId="7" fillId="5" borderId="5" xfId="0" applyNumberFormat="1" applyFont="1" applyFill="1" applyBorder="1" applyAlignment="1">
      <x:alignment vertical="center" wrapText="1"/>
    </x:xf>
    <x:xf numFmtId="0" fontId="7" fillId="5" borderId="6" xfId="0" applyNumberFormat="1" applyFont="1" applyFill="1" applyBorder="1" applyAlignment="1">
      <x:alignment vertical="center" wrapText="1"/>
    </x:xf>
    <x:xf numFmtId="0" fontId="7" fillId="5" borderId="15" xfId="0" applyNumberFormat="1" applyFont="1" applyFill="1" applyBorder="1" applyAlignment="1">
      <x:alignment vertical="center" wrapText="1"/>
    </x:xf>
    <x:xf numFmtId="0" fontId="7" fillId="5" borderId="7" xfId="0" applyNumberFormat="1" applyFont="1" applyFill="1" applyBorder="1" applyAlignment="1">
      <x:alignment vertical="center" wrapText="1"/>
    </x:xf>
    <x:xf numFmtId="0" fontId="1" fillId="2" borderId="0" xfId="0" applyNumberFormat="1" applyFont="1" applyFill="1" applyBorder="1" applyAlignment="1">
      <x:alignment vertical="top" wrapText="1"/>
    </x:xf>
    <x:xf numFmtId="0" fontId="5" fillId="2" borderId="0" xfId="0" applyNumberFormat="1" applyFont="1" applyFill="1" applyBorder="1" applyAlignment="1">
      <x:alignment vertical="top" wrapText="1"/>
    </x:xf>
    <x:xf numFmtId="0" fontId="5" fillId="2" borderId="0" xfId="0" applyNumberFormat="1" applyFont="1" applyFill="1" applyBorder="1" applyAlignment="1">
      <x:alignment horizontal="center" vertical="top" wrapText="1"/>
    </x:xf>
    <x:xf numFmtId="0" fontId="1" fillId="0" borderId="0" xfId="0" applyNumberFormat="1" applyFont="1" applyFill="1" applyBorder="1" applyAlignment="1">
      <x:alignment vertical="center"/>
    </x:xf>
    <x:xf numFmtId="0" fontId="2" fillId="0" borderId="0" xfId="0" applyNumberFormat="1" applyFont="1" applyFill="1" applyBorder="1" applyAlignment="1">
      <x:alignment vertical="center"/>
    </x:xf>
    <x:xf numFmtId="0" fontId="1" fillId="0" borderId="1" xfId="0" applyNumberFormat="1" applyFont="1" applyFill="1" applyBorder="1" applyAlignment="1">
      <x:alignment vertical="center"/>
    </x:xf>
    <x:xf numFmtId="0" fontId="3" fillId="0" borderId="2" xfId="0" applyNumberFormat="1" applyFont="1" applyFill="1" applyBorder="1" applyAlignment="1">
      <x:alignment vertical="center"/>
    </x:xf>
    <x:xf numFmtId="0" fontId="4" fillId="0" borderId="3" xfId="0" applyNumberFormat="1" applyFont="1" applyFill="1" applyBorder="1" applyAlignment="1">
      <x:alignment vertical="center"/>
    </x:xf>
    <x:xf numFmtId="0" fontId="5" fillId="2" borderId="8" xfId="0" applyNumberFormat="1" applyFont="1" applyFill="1" applyBorder="1" applyAlignment="1">
      <x:alignment vertical="center"/>
    </x:xf>
    <x:xf numFmtId="0" fontId="5" fillId="2" borderId="9" xfId="0" applyNumberFormat="1" applyFont="1" applyFill="1" applyBorder="1" applyAlignment="1">
      <x:alignment vertical="center"/>
    </x:xf>
    <x:xf numFmtId="0" fontId="5" fillId="2" borderId="10" xfId="0" applyNumberFormat="1" applyFont="1" applyFill="1" applyBorder="1" applyAlignment="1">
      <x:alignment vertical="center"/>
    </x:xf>
    <x:xf numFmtId="0" fontId="3" fillId="0" borderId="4" xfId="0" applyNumberFormat="1" applyFont="1" applyFill="1" applyBorder="1" applyAlignment="1">
      <x:alignment vertical="center"/>
    </x:xf>
    <x:xf numFmtId="0" fontId="4" fillId="0" borderId="5" xfId="0" applyNumberFormat="1" applyFont="1" applyFill="1" applyBorder="1" applyAlignment="1">
      <x:alignment vertical="center"/>
    </x:xf>
    <x:xf numFmtId="0" fontId="3" fillId="0" borderId="6" xfId="0" applyNumberFormat="1" applyFont="1" applyFill="1" applyBorder="1" applyAlignment="1">
      <x:alignment vertical="center"/>
    </x:xf>
    <x:xf numFmtId="0" fontId="4" fillId="0" borderId="7" xfId="0" applyNumberFormat="1" applyFont="1" applyFill="1" applyBorder="1" applyAlignment="1">
      <x:alignment vertical="center"/>
    </x:xf>
    <x:xf numFmtId="0" fontId="1" fillId="0" borderId="16" xfId="0" applyNumberFormat="1" applyFont="1" applyFill="1" applyBorder="1" applyAlignment="1">
      <x:alignment vertical="center" wrapText="1"/>
    </x:xf>
    <x:xf numFmtId="0" fontId="5" fillId="4" borderId="2" xfId="0" applyNumberFormat="1" applyFont="1" applyFill="1" applyBorder="1" applyAlignment="1">
      <x:alignment vertical="center"/>
    </x:xf>
    <x:xf numFmtId="0" fontId="5" fillId="4" borderId="17" xfId="0" applyNumberFormat="1" applyFont="1" applyFill="1" applyBorder="1" applyAlignment="1">
      <x:alignment vertical="center"/>
    </x:xf>
    <x:xf numFmtId="0" fontId="5" fillId="4" borderId="3" xfId="0" applyNumberFormat="1" applyFont="1" applyFill="1" applyBorder="1" applyAlignment="1">
      <x:alignment vertical="center"/>
    </x:xf>
    <x:xf numFmtId="0" fontId="1" fillId="6" borderId="0" xfId="0" applyNumberFormat="1" applyFont="1" applyFill="1" applyBorder="1" applyAlignment="1">
      <x:alignment vertical="top" wrapText="1"/>
    </x:xf>
    <x:xf numFmtId="0" fontId="5" fillId="6" borderId="0" xfId="0" applyNumberFormat="1" applyFont="1" applyFill="1" applyBorder="1" applyAlignment="1">
      <x:alignment vertical="top" wrapText="1"/>
    </x:xf>
    <x:xf numFmtId="0" fontId="5" fillId="6" borderId="0" xfId="0" applyNumberFormat="1" applyFont="1" applyFill="1" applyBorder="1" applyAlignment="1">
      <x:alignment horizontal="center" vertical="top" wrapText="1"/>
    </x:xf>
    <x:xf numFmtId="0" fontId="5" fillId="6" borderId="0" xfId="0" applyNumberFormat="1" applyFont="1" applyFill="1" applyBorder="1" applyAlignment="1">
      <x:alignment horizontal="center" vertical="center" wrapText="1"/>
    </x:xf>
    <x:xf numFmtId="0" fontId="1" fillId="7" borderId="0" xfId="0" applyNumberFormat="1" applyFont="1" applyFill="1" applyBorder="1" applyAlignment="1">
      <x:alignment vertical="top" wrapText="1"/>
    </x:xf>
    <x:xf numFmtId="0" fontId="5" fillId="7" borderId="0" xfId="0" applyNumberFormat="1" applyFont="1" applyFill="1" applyBorder="1" applyAlignment="1">
      <x:alignment vertical="top" wrapText="1"/>
    </x:xf>
    <x:xf numFmtId="0" fontId="5" fillId="7" borderId="0" xfId="0" applyNumberFormat="1" applyFont="1" applyFill="1" applyBorder="1" applyAlignment="1">
      <x:alignment horizontal="center" vertical="top" wrapText="1"/>
    </x:xf>
    <x:xf numFmtId="0" fontId="5" fillId="7" borderId="0" xfId="0" applyNumberFormat="1" applyFont="1" applyFill="1" applyBorder="1" applyAlignment="1">
      <x:alignment horizontal="center" vertical="center" wrapText="1"/>
    </x:xf>
    <x:xf numFmtId="0" fontId="8" fillId="2" borderId="0" xfId="0" applyNumberFormat="1" applyFont="1" applyFill="1" applyBorder="1" applyAlignment="1">
      <x:alignment horizontal="center" vertical="center" wrapText="1"/>
    </x:xf>
    <x:xf numFmtId="0" fontId="9" fillId="0" borderId="0" xfId="0" applyNumberFormat="1" applyFont="1" applyFill="1" applyBorder="1" applyAlignment="1">
      <x:alignment vertical="top" wrapText="1"/>
    </x:xf>
    <x:xf numFmtId="0" fontId="9" fillId="0" borderId="0" xfId="0" applyNumberFormat="1" applyFont="1" applyFill="1" applyBorder="1"/>
    <x:xf numFmtId="0" fontId="9" fillId="0" borderId="0" xfId="0" applyNumberFormat="1" applyFont="1" applyFill="1" applyBorder="1" applyAlignment="1">
      <x:alignment wrapText="1"/>
    </x:xf>
    <x:xf numFmtId="0" fontId="8" fillId="2" borderId="0" xfId="0" applyNumberFormat="1" applyFont="1" applyFill="1" applyBorder="1" applyAlignment="1">
      <x:alignment horizontal="center" vertical="top" wrapText="1"/>
    </x:xf>
    <x:xf numFmtId="0" fontId="8" fillId="8" borderId="0" xfId="0" applyNumberFormat="1" applyFont="1" applyFill="1" applyBorder="1" applyAlignment="1">
      <x:alignment horizontal="center" vertical="top" wrapText="1"/>
    </x:xf>
    <x:xf numFmtId="0" fontId="10" fillId="8" borderId="0" xfId="0" applyNumberFormat="1" applyFont="1" applyFill="1" applyBorder="1" applyAlignment="1">
      <x:alignment horizontal="center" vertical="top" wrapText="1"/>
    </x:xf>
    <x:xf numFmtId="0" fontId="10" fillId="8" borderId="0" xfId="0" applyNumberFormat="1" applyFont="1" applyFill="1" applyBorder="1" applyAlignment="1">
      <x:alignment horizontal="center" vertical="center" wrapText="1"/>
    </x:xf>
    <x:xf numFmtId="0" fontId="11" fillId="2" borderId="15" xfId="0" applyNumberFormat="1" applyFont="1" applyFill="1" applyBorder="1" applyAlignment="1">
      <x:alignment horizontal="center" vertical="center" wrapText="1"/>
    </x:xf>
    <x:xf numFmtId="0" fontId="12" fillId="0" borderId="16" xfId="0" applyNumberFormat="1" applyFont="1" applyFill="1" applyBorder="1" applyAlignment="1">
      <x:alignment vertical="top" wrapText="1"/>
    </x:xf>
    <x:xf numFmtId="0" fontId="12" fillId="0" borderId="0" xfId="0" applyNumberFormat="1" applyFont="1" applyFill="1" applyBorder="1"/>
    <x:xf numFmtId="0" fontId="11" fillId="8" borderId="15" xfId="0" applyNumberFormat="1" applyFont="1" applyFill="1" applyBorder="1" applyAlignment="1">
      <x:alignment horizontal="center" vertical="center" wrapText="1"/>
    </x:xf>
    <x:xf numFmtId="0" fontId="10" fillId="8" borderId="15" xfId="0" applyNumberFormat="1" applyFont="1" applyFill="1" applyBorder="1" applyAlignment="1">
      <x:alignment horizontal="center" vertical="center" wrapText="1"/>
    </x:xf>
    <x:xf numFmtId="0" fontId="12" fillId="0" borderId="0" xfId="0" applyNumberFormat="1" applyFont="1" applyFill="1" applyBorder="1" applyAlignment="1">
      <x:alignment wrapText="1"/>
    </x:xf>
    <x:xf numFmtId="0" fontId="12" fillId="0" borderId="0" xfId="0" applyNumberFormat="1" applyFont="1" applyFill="1" applyBorder="1" applyAlignment="1">
      <x:alignment vertical="top" wrapText="1"/>
    </x:xf>
    <x:xf numFmtId="0" fontId="0" fillId="9" borderId="0" xfId="0" applyNumberFormat="1" applyFont="1" applyFill="1" applyBorder="1"/>
    <x:xf numFmtId="0" fontId="13" fillId="9" borderId="0" xfId="0" applyNumberFormat="1" applyFont="1" applyFill="1" applyBorder="1"/>
    <x:xf numFmtId="0" fontId="13" fillId="9" borderId="0" xfId="0" applyNumberFormat="1" applyFont="1" applyFill="1" applyBorder="1" applyAlignment="1">
      <x:alignment vertical="center"/>
    </x:xf>
    <x:xf numFmtId="0" fontId="14" fillId="9" borderId="0" xfId="0" applyNumberFormat="1" applyFont="1" applyFill="1" applyBorder="1" applyAlignment="1">
      <x:alignment vertical="center"/>
    </x:xf>
    <x:xf numFmtId="0" fontId="15" fillId="9" borderId="0" xfId="0" applyNumberFormat="1" applyFont="1" applyFill="1" applyBorder="1" applyAlignment="1">
      <x:alignment vertical="center"/>
    </x:xf>
    <x:xf numFmtId="0" fontId="15" fillId="9" borderId="18" xfId="0" applyNumberFormat="1" applyFont="1" applyFill="1" applyBorder="1" applyAlignment="1">
      <x:alignment vertical="center"/>
    </x:xf>
    <x:xf numFmtId="0" fontId="13" fillId="10" borderId="0" xfId="0" applyNumberFormat="1" applyFont="1" applyFill="1" applyBorder="1" applyAlignment="1">
      <x:alignment vertical="center"/>
    </x:xf>
    <x:xf numFmtId="0" fontId="13" fillId="10" borderId="19" xfId="0" applyNumberFormat="1" applyFont="1" applyFill="1" applyBorder="1" applyAlignment="1">
      <x:alignment vertical="center"/>
    </x:xf>
    <x:xf numFmtId="0" fontId="13" fillId="10" borderId="20" xfId="0" applyNumberFormat="1" applyFont="1" applyFill="1" applyBorder="1" applyAlignment="1">
      <x:alignment vertical="center"/>
    </x:xf>
    <x:xf numFmtId="0" fontId="13" fillId="10" borderId="21" xfId="0" applyNumberFormat="1" applyFont="1" applyFill="1" applyBorder="1" applyAlignment="1">
      <x:alignment vertical="center"/>
    </x:xf>
    <x:xf numFmtId="0" fontId="13" fillId="10" borderId="22" xfId="0" applyNumberFormat="1" applyFont="1" applyFill="1" applyBorder="1" applyAlignment="1">
      <x:alignment vertical="center"/>
    </x:xf>
    <x:xf numFmtId="0" fontId="13" fillId="10" xfId="0" applyNumberFormat="1" applyFont="1" applyFill="1" applyBorder="0" applyAlignment="1">
      <x:alignment vertical="center"/>
    </x:xf>
    <x:xf numFmtId="0" fontId="13" fillId="10" borderId="23" xfId="0" applyNumberFormat="1" applyFont="1" applyFill="1" applyBorder="1" applyAlignment="1">
      <x:alignment vertical="center"/>
    </x:xf>
    <x:xf numFmtId="0" fontId="13" fillId="10" borderId="24" xfId="0" applyNumberFormat="1" applyFont="1" applyFill="1" applyBorder="1" applyAlignment="1">
      <x:alignment vertical="center"/>
    </x:xf>
    <x:xf numFmtId="0" fontId="13" fillId="10" borderId="25" xfId="0" applyNumberFormat="1" applyFont="1" applyFill="1" applyBorder="1" applyAlignment="1">
      <x:alignment vertical="center"/>
    </x:xf>
    <x:xf numFmtId="0" fontId="13" fillId="10" borderId="26" xfId="0" applyNumberFormat="1" applyFont="1" applyFill="1" applyBorder="1" applyAlignment="1">
      <x:alignment vertical="center"/>
    </x:xf>
    <x:xf numFmtId="0" fontId="16" fillId="10" borderId="19" xfId="0" applyNumberFormat="1" applyFont="1" applyFill="1" applyBorder="1" applyAlignment="1">
      <x:alignment vertical="center"/>
    </x:xf>
    <x:xf numFmtId="0" fontId="16" fillId="10" borderId="20" xfId="0" applyNumberFormat="1" applyFont="1" applyFill="1" applyBorder="1" applyAlignment="1">
      <x:alignment vertical="center"/>
    </x:xf>
    <x:xf numFmtId="0" fontId="16" fillId="10" borderId="21" xfId="0" applyNumberFormat="1" applyFont="1" applyFill="1" applyBorder="1" applyAlignment="1">
      <x:alignment vertical="center"/>
    </x:xf>
    <x:xf numFmtId="0" fontId="17" fillId="10" borderId="22" xfId="0" applyNumberFormat="1" applyFont="1" applyFill="1" applyBorder="1" applyAlignment="1">
      <x:alignment vertical="center"/>
    </x:xf>
    <x:xf numFmtId="0" fontId="17" fillId="10" xfId="0" applyNumberFormat="1" applyFont="1" applyFill="1" applyBorder="0" applyAlignment="1">
      <x:alignment vertical="center"/>
    </x:xf>
    <x:xf numFmtId="0" fontId="17" fillId="10" borderId="23" xfId="0" applyNumberFormat="1" applyFont="1" applyFill="1" applyBorder="1" applyAlignment="1">
      <x:alignment vertical="center"/>
    </x:xf>
    <x:xf numFmtId="0" fontId="17" fillId="10" borderId="22" xfId="0" applyNumberFormat="1" applyFont="1" applyFill="1" applyBorder="1" applyAlignment="1">
      <x:alignment horizontal="center" vertical="center"/>
    </x:xf>
    <x:xf numFmtId="0" fontId="17" fillId="10" xfId="0" applyNumberFormat="1" applyFont="1" applyFill="1" applyBorder="0" applyAlignment="1">
      <x:alignment horizontal="center" vertical="center"/>
    </x:xf>
    <x:xf numFmtId="0" fontId="17" fillId="10" borderId="23" xfId="0" applyNumberFormat="1" applyFont="1" applyFill="1" applyBorder="1" applyAlignment="1">
      <x:alignment horizontal="center" vertical="center"/>
    </x:xf>
    <x:xf numFmtId="0" fontId="18" fillId="10" borderId="24" xfId="0" applyNumberFormat="1" applyFont="1" applyFill="1" applyBorder="1" applyAlignment="1">
      <x:alignment vertical="center"/>
    </x:xf>
    <x:xf numFmtId="0" fontId="18" fillId="10" borderId="25" xfId="0" applyNumberFormat="1" applyFont="1" applyFill="1" applyBorder="1" applyAlignment="1">
      <x:alignment vertical="center"/>
    </x:xf>
    <x:xf numFmtId="0" fontId="18" fillId="10" borderId="26" xfId="0" applyNumberFormat="1" applyFont="1" applyFill="1" applyBorder="1" applyAlignment="1">
      <x:alignment vertical="center"/>
    </x:xf>
    <x:xf numFmtId="0" fontId="18" fillId="10" borderId="24" xfId="0" applyNumberFormat="1" applyFont="1" applyFill="1" applyBorder="1" applyAlignment="1">
      <x:alignment horizontal="center" vertical="center"/>
    </x:xf>
    <x:xf numFmtId="0" fontId="18" fillId="10" borderId="25" xfId="0" applyNumberFormat="1" applyFont="1" applyFill="1" applyBorder="1" applyAlignment="1">
      <x:alignment horizontal="center" vertical="center"/>
    </x:xf>
    <x:xf numFmtId="0" fontId="18" fillId="10" borderId="26" xfId="0" applyNumberFormat="1" applyFont="1" applyFill="1" applyBorder="1" applyAlignment="1">
      <x:alignment horizontal="center" vertical="center"/>
    </x:xf>
    <x:xf numFmtId="0" fontId="13" fillId="11" borderId="0" xfId="0" applyNumberFormat="1" applyFont="1" applyFill="1" applyBorder="1" applyAlignment="1">
      <x:alignment vertical="center"/>
    </x:xf>
    <x:xf numFmtId="0" fontId="13" fillId="11" borderId="19" xfId="0" applyNumberFormat="1" applyFont="1" applyFill="1" applyBorder="1" applyAlignment="1">
      <x:alignment vertical="center"/>
    </x:xf>
    <x:xf numFmtId="0" fontId="13" fillId="11" borderId="20" xfId="0" applyNumberFormat="1" applyFont="1" applyFill="1" applyBorder="1" applyAlignment="1">
      <x:alignment vertical="center"/>
    </x:xf>
    <x:xf numFmtId="0" fontId="13" fillId="11" borderId="21" xfId="0" applyNumberFormat="1" applyFont="1" applyFill="1" applyBorder="1" applyAlignment="1">
      <x:alignment vertical="center"/>
    </x:xf>
    <x:xf numFmtId="0" fontId="13" fillId="11" borderId="22" xfId="0" applyNumberFormat="1" applyFont="1" applyFill="1" applyBorder="1" applyAlignment="1">
      <x:alignment vertical="center"/>
    </x:xf>
    <x:xf numFmtId="0" fontId="13" fillId="11" xfId="0" applyNumberFormat="1" applyFont="1" applyFill="1" applyBorder="0" applyAlignment="1">
      <x:alignment vertical="center"/>
    </x:xf>
    <x:xf numFmtId="0" fontId="13" fillId="11" borderId="23" xfId="0" applyNumberFormat="1" applyFont="1" applyFill="1" applyBorder="1" applyAlignment="1">
      <x:alignment vertical="center"/>
    </x:xf>
    <x:xf numFmtId="0" fontId="13" fillId="11" borderId="24" xfId="0" applyNumberFormat="1" applyFont="1" applyFill="1" applyBorder="1" applyAlignment="1">
      <x:alignment vertical="center"/>
    </x:xf>
    <x:xf numFmtId="0" fontId="13" fillId="11" borderId="25" xfId="0" applyNumberFormat="1" applyFont="1" applyFill="1" applyBorder="1" applyAlignment="1">
      <x:alignment vertical="center"/>
    </x:xf>
    <x:xf numFmtId="0" fontId="13" fillId="11" borderId="26" xfId="0" applyNumberFormat="1" applyFont="1" applyFill="1" applyBorder="1" applyAlignment="1">
      <x:alignment vertical="center"/>
    </x:xf>
    <x:xf numFmtId="0" fontId="16" fillId="11" borderId="19" xfId="0" applyNumberFormat="1" applyFont="1" applyFill="1" applyBorder="1" applyAlignment="1">
      <x:alignment vertical="center"/>
    </x:xf>
    <x:xf numFmtId="0" fontId="16" fillId="11" borderId="20" xfId="0" applyNumberFormat="1" applyFont="1" applyFill="1" applyBorder="1" applyAlignment="1">
      <x:alignment vertical="center"/>
    </x:xf>
    <x:xf numFmtId="0" fontId="16" fillId="11" borderId="21" xfId="0" applyNumberFormat="1" applyFont="1" applyFill="1" applyBorder="1" applyAlignment="1">
      <x:alignment vertical="center"/>
    </x:xf>
    <x:xf numFmtId="0" fontId="19" fillId="11" borderId="22" xfId="0" applyNumberFormat="1" applyFont="1" applyFill="1" applyBorder="1" applyAlignment="1">
      <x:alignment vertical="center"/>
    </x:xf>
    <x:xf numFmtId="0" fontId="19" fillId="11" xfId="0" applyNumberFormat="1" applyFont="1" applyFill="1" applyBorder="0" applyAlignment="1">
      <x:alignment vertical="center"/>
    </x:xf>
    <x:xf numFmtId="0" fontId="19" fillId="11" borderId="23" xfId="0" applyNumberFormat="1" applyFont="1" applyFill="1" applyBorder="1" applyAlignment="1">
      <x:alignment vertical="center"/>
    </x:xf>
    <x:xf numFmtId="0" fontId="19" fillId="11" borderId="22" xfId="0" applyNumberFormat="1" applyFont="1" applyFill="1" applyBorder="1" applyAlignment="1">
      <x:alignment horizontal="center" vertical="center"/>
    </x:xf>
    <x:xf numFmtId="0" fontId="19" fillId="11" xfId="0" applyNumberFormat="1" applyFont="1" applyFill="1" applyBorder="0" applyAlignment="1">
      <x:alignment horizontal="center" vertical="center"/>
    </x:xf>
    <x:xf numFmtId="0" fontId="19" fillId="11" borderId="23" xfId="0" applyNumberFormat="1" applyFont="1" applyFill="1" applyBorder="1" applyAlignment="1">
      <x:alignment horizontal="center" vertical="center"/>
    </x:xf>
    <x:xf numFmtId="0" fontId="18" fillId="11" borderId="24" xfId="0" applyNumberFormat="1" applyFont="1" applyFill="1" applyBorder="1" applyAlignment="1">
      <x:alignment vertical="center"/>
    </x:xf>
    <x:xf numFmtId="0" fontId="18" fillId="11" borderId="25" xfId="0" applyNumberFormat="1" applyFont="1" applyFill="1" applyBorder="1" applyAlignment="1">
      <x:alignment vertical="center"/>
    </x:xf>
    <x:xf numFmtId="0" fontId="18" fillId="11" borderId="26" xfId="0" applyNumberFormat="1" applyFont="1" applyFill="1" applyBorder="1" applyAlignment="1">
      <x:alignment vertical="center"/>
    </x:xf>
    <x:xf numFmtId="0" fontId="18" fillId="11" borderId="24" xfId="0" applyNumberFormat="1" applyFont="1" applyFill="1" applyBorder="1" applyAlignment="1">
      <x:alignment horizontal="center" vertical="center"/>
    </x:xf>
    <x:xf numFmtId="0" fontId="18" fillId="11" borderId="25" xfId="0" applyNumberFormat="1" applyFont="1" applyFill="1" applyBorder="1" applyAlignment="1">
      <x:alignment horizontal="center" vertical="center"/>
    </x:xf>
    <x:xf numFmtId="0" fontId="18" fillId="11" borderId="26" xfId="0" applyNumberFormat="1" applyFont="1" applyFill="1" applyBorder="1" applyAlignment="1">
      <x:alignment horizontal="center" vertical="center"/>
    </x:xf>
    <x:xf numFmtId="0" fontId="13" fillId="12" borderId="0" xfId="0" applyNumberFormat="1" applyFont="1" applyFill="1" applyBorder="1" applyAlignment="1">
      <x:alignment vertical="center"/>
    </x:xf>
    <x:xf numFmtId="0" fontId="13" fillId="12" borderId="19" xfId="0" applyNumberFormat="1" applyFont="1" applyFill="1" applyBorder="1" applyAlignment="1">
      <x:alignment vertical="center"/>
    </x:xf>
    <x:xf numFmtId="0" fontId="13" fillId="12" borderId="20" xfId="0" applyNumberFormat="1" applyFont="1" applyFill="1" applyBorder="1" applyAlignment="1">
      <x:alignment vertical="center"/>
    </x:xf>
    <x:xf numFmtId="0" fontId="13" fillId="12" borderId="21" xfId="0" applyNumberFormat="1" applyFont="1" applyFill="1" applyBorder="1" applyAlignment="1">
      <x:alignment vertical="center"/>
    </x:xf>
    <x:xf numFmtId="0" fontId="13" fillId="12" borderId="22" xfId="0" applyNumberFormat="1" applyFont="1" applyFill="1" applyBorder="1" applyAlignment="1">
      <x:alignment vertical="center"/>
    </x:xf>
    <x:xf numFmtId="0" fontId="13" fillId="12" xfId="0" applyNumberFormat="1" applyFont="1" applyFill="1" applyBorder="0" applyAlignment="1">
      <x:alignment vertical="center"/>
    </x:xf>
    <x:xf numFmtId="0" fontId="13" fillId="12" borderId="23" xfId="0" applyNumberFormat="1" applyFont="1" applyFill="1" applyBorder="1" applyAlignment="1">
      <x:alignment vertical="center"/>
    </x:xf>
    <x:xf numFmtId="0" fontId="13" fillId="12" borderId="24" xfId="0" applyNumberFormat="1" applyFont="1" applyFill="1" applyBorder="1" applyAlignment="1">
      <x:alignment vertical="center"/>
    </x:xf>
    <x:xf numFmtId="0" fontId="13" fillId="12" borderId="25" xfId="0" applyNumberFormat="1" applyFont="1" applyFill="1" applyBorder="1" applyAlignment="1">
      <x:alignment vertical="center"/>
    </x:xf>
    <x:xf numFmtId="0" fontId="13" fillId="12" borderId="26" xfId="0" applyNumberFormat="1" applyFont="1" applyFill="1" applyBorder="1" applyAlignment="1">
      <x:alignment vertical="center"/>
    </x:xf>
    <x:xf numFmtId="0" fontId="16" fillId="12" borderId="19" xfId="0" applyNumberFormat="1" applyFont="1" applyFill="1" applyBorder="1" applyAlignment="1">
      <x:alignment vertical="center"/>
    </x:xf>
    <x:xf numFmtId="0" fontId="16" fillId="12" borderId="20" xfId="0" applyNumberFormat="1" applyFont="1" applyFill="1" applyBorder="1" applyAlignment="1">
      <x:alignment vertical="center"/>
    </x:xf>
    <x:xf numFmtId="0" fontId="16" fillId="12" borderId="21" xfId="0" applyNumberFormat="1" applyFont="1" applyFill="1" applyBorder="1" applyAlignment="1">
      <x:alignment vertical="center"/>
    </x:xf>
    <x:xf numFmtId="0" fontId="20" fillId="12" borderId="22" xfId="0" applyNumberFormat="1" applyFont="1" applyFill="1" applyBorder="1" applyAlignment="1">
      <x:alignment vertical="center"/>
    </x:xf>
    <x:xf numFmtId="0" fontId="20" fillId="12" xfId="0" applyNumberFormat="1" applyFont="1" applyFill="1" applyBorder="0" applyAlignment="1">
      <x:alignment vertical="center"/>
    </x:xf>
    <x:xf numFmtId="0" fontId="20" fillId="12" borderId="23" xfId="0" applyNumberFormat="1" applyFont="1" applyFill="1" applyBorder="1" applyAlignment="1">
      <x:alignment vertical="center"/>
    </x:xf>
    <x:xf numFmtId="0" fontId="20" fillId="12" borderId="22" xfId="0" applyNumberFormat="1" applyFont="1" applyFill="1" applyBorder="1" applyAlignment="1">
      <x:alignment horizontal="center" vertical="center"/>
    </x:xf>
    <x:xf numFmtId="0" fontId="20" fillId="12" xfId="0" applyNumberFormat="1" applyFont="1" applyFill="1" applyBorder="0" applyAlignment="1">
      <x:alignment horizontal="center" vertical="center"/>
    </x:xf>
    <x:xf numFmtId="0" fontId="20" fillId="12" borderId="23" xfId="0" applyNumberFormat="1" applyFont="1" applyFill="1" applyBorder="1" applyAlignment="1">
      <x:alignment horizontal="center" vertical="center"/>
    </x:xf>
    <x:xf numFmtId="0" fontId="18" fillId="12" borderId="24" xfId="0" applyNumberFormat="1" applyFont="1" applyFill="1" applyBorder="1" applyAlignment="1">
      <x:alignment vertical="center"/>
    </x:xf>
    <x:xf numFmtId="0" fontId="18" fillId="12" borderId="25" xfId="0" applyNumberFormat="1" applyFont="1" applyFill="1" applyBorder="1" applyAlignment="1">
      <x:alignment vertical="center"/>
    </x:xf>
    <x:xf numFmtId="0" fontId="18" fillId="12" borderId="26" xfId="0" applyNumberFormat="1" applyFont="1" applyFill="1" applyBorder="1" applyAlignment="1">
      <x:alignment vertical="center"/>
    </x:xf>
    <x:xf numFmtId="0" fontId="18" fillId="12" borderId="24" xfId="0" applyNumberFormat="1" applyFont="1" applyFill="1" applyBorder="1" applyAlignment="1">
      <x:alignment horizontal="center" vertical="center"/>
    </x:xf>
    <x:xf numFmtId="0" fontId="18" fillId="12" borderId="25" xfId="0" applyNumberFormat="1" applyFont="1" applyFill="1" applyBorder="1" applyAlignment="1">
      <x:alignment horizontal="center" vertical="center"/>
    </x:xf>
    <x:xf numFmtId="0" fontId="18" fillId="12" borderId="26" xfId="0" applyNumberFormat="1" applyFont="1" applyFill="1" applyBorder="1" applyAlignment="1">
      <x:alignment horizontal="center" vertical="center"/>
    </x:xf>
    <x:xf numFmtId="200" fontId="17" fillId="10" borderId="22" xfId="0" applyNumberFormat="1" applyFont="1" applyFill="1" applyBorder="1" applyAlignment="1">
      <x:alignment horizontal="center" vertical="center"/>
    </x:xf>
    <x:xf numFmtId="200" fontId="17" fillId="10" xfId="0" applyNumberFormat="1" applyFont="1" applyFill="1" applyBorder="0" applyAlignment="1">
      <x:alignment horizontal="center" vertical="center"/>
    </x:xf>
    <x:xf numFmtId="200" fontId="17" fillId="10" borderId="23" xfId="0" applyNumberFormat="1" applyFont="1" applyFill="1" applyBorder="1" applyAlignment="1">
      <x:alignment horizontal="center" vertical="center"/>
    </x:xf>
    <x:xf numFmtId="200" fontId="19" fillId="11" borderId="22" xfId="0" applyNumberFormat="1" applyFont="1" applyFill="1" applyBorder="1" applyAlignment="1">
      <x:alignment horizontal="center" vertical="center"/>
    </x:xf>
    <x:xf numFmtId="200" fontId="19" fillId="11" xfId="0" applyNumberFormat="1" applyFont="1" applyFill="1" applyBorder="0" applyAlignment="1">
      <x:alignment horizontal="center" vertical="center"/>
    </x:xf>
    <x:xf numFmtId="200" fontId="19" fillId="11" borderId="23" xfId="0" applyNumberFormat="1" applyFont="1" applyFill="1" applyBorder="1" applyAlignment="1">
      <x:alignment horizontal="center" vertical="center"/>
    </x:xf>
    <x:xf numFmtId="200" fontId="20" fillId="12" borderId="22" xfId="0" applyNumberFormat="1" applyFont="1" applyFill="1" applyBorder="1" applyAlignment="1">
      <x:alignment horizontal="center" vertical="center"/>
    </x:xf>
    <x:xf numFmtId="200" fontId="20" fillId="12" xfId="0" applyNumberFormat="1" applyFont="1" applyFill="1" applyBorder="0" applyAlignment="1">
      <x:alignment horizontal="center" vertical="center"/>
    </x:xf>
    <x:xf numFmtId="200" fontId="20" fillId="12" borderId="23" xfId="0" applyNumberFormat="1" applyFont="1" applyFill="1" applyBorder="1" applyAlignment="1">
      <x:alignment horizontal="center" vertical="center"/>
    </x:xf>
    <x:xf numFmtId="0" fontId="13" fillId="13" borderId="0" xfId="0" applyNumberFormat="1" applyFont="1" applyFill="1" applyBorder="1" applyAlignment="1">
      <x:alignment vertical="center"/>
    </x:xf>
    <x:xf numFmtId="0" fontId="5" fillId="13" borderId="0" xfId="0" applyNumberFormat="1" applyFont="1" applyFill="1" applyBorder="1" applyAlignment="1">
      <x:alignment vertical="center"/>
    </x:xf>
    <x:xf numFmtId="0" fontId="13" fillId="14" borderId="0" xfId="0" applyNumberFormat="1" applyFont="1" applyFill="1" applyBorder="1" applyAlignment="1">
      <x:alignment vertical="center"/>
    </x:xf>
    <x:xf numFmtId="0" fontId="21" fillId="14" borderId="0" xfId="0" applyNumberFormat="1" applyFont="1" applyFill="1" applyBorder="1" applyAlignment="1">
      <x:alignment vertical="center"/>
    </x:xf>
    <x:xf numFmtId="0" fontId="21" fillId="14" borderId="27" xfId="0" applyNumberFormat="1" applyFont="1" applyFill="1" applyBorder="1" applyAlignment="1">
      <x:alignment vertical="center"/>
    </x:xf>
    <x:xf numFmtId="0" fontId="21" fillId="14" borderId="28" xfId="0" applyNumberFormat="1" applyFont="1" applyFill="1" applyBorder="1" applyAlignment="1">
      <x:alignment vertical="center"/>
    </x:xf>
    <x:xf numFmtId="0" fontId="21" fillId="14" borderId="29" xfId="0" applyNumberFormat="1" applyFont="1" applyFill="1" applyBorder="1" applyAlignment="1">
      <x:alignment vertical="center"/>
    </x:xf>
    <x:xf numFmtId="0" fontId="21" fillId="14" borderId="30" xfId="0" applyNumberFormat="1" applyFont="1" applyFill="1" applyBorder="1" applyAlignment="1">
      <x:alignment vertical="center"/>
    </x:xf>
    <x:xf numFmtId="0" fontId="21" fillId="14" xfId="0" applyNumberFormat="1" applyFont="1" applyFill="1" applyBorder="0" applyAlignment="1">
      <x:alignment vertical="center"/>
    </x:xf>
    <x:xf numFmtId="0" fontId="21" fillId="14" borderId="31" xfId="0" applyNumberFormat="1" applyFont="1" applyFill="1" applyBorder="1" applyAlignment="1">
      <x:alignment vertical="center"/>
    </x:xf>
    <x:xf numFmtId="0" fontId="21" fillId="14" borderId="32" xfId="0" applyNumberFormat="1" applyFont="1" applyFill="1" applyBorder="1" applyAlignment="1">
      <x:alignment vertical="center"/>
    </x:xf>
    <x:xf numFmtId="0" fontId="21" fillId="14" borderId="18" xfId="0" applyNumberFormat="1" applyFont="1" applyFill="1" applyBorder="1" applyAlignment="1">
      <x:alignment vertical="center"/>
    </x:xf>
    <x:xf numFmtId="0" fontId="21" fillId="14" borderId="33" xfId="0" applyNumberFormat="1" applyFont="1" applyFill="1" applyBorder="1" applyAlignment="1">
      <x:alignment vertical="center"/>
    </x:xf>
    <x:xf numFmtId="0" fontId="21" fillId="14" borderId="27" xfId="0" applyNumberFormat="1" applyFont="1" applyFill="1" applyBorder="1" applyAlignment="1">
      <x:alignment vertical="center" wrapText="1"/>
    </x:xf>
    <x:xf numFmtId="0" fontId="21" fillId="14" borderId="28" xfId="0" applyNumberFormat="1" applyFont="1" applyFill="1" applyBorder="1" applyAlignment="1">
      <x:alignment vertical="center" wrapText="1"/>
    </x:xf>
    <x:xf numFmtId="0" fontId="21" fillId="14" borderId="29" xfId="0" applyNumberFormat="1" applyFont="1" applyFill="1" applyBorder="1" applyAlignment="1">
      <x:alignment vertical="center" wrapText="1"/>
    </x:xf>
    <x:xf numFmtId="0" fontId="21" fillId="14" borderId="30" xfId="0" applyNumberFormat="1" applyFont="1" applyFill="1" applyBorder="1" applyAlignment="1">
      <x:alignment vertical="center" wrapText="1"/>
    </x:xf>
    <x:xf numFmtId="0" fontId="21" fillId="14" xfId="0" applyNumberFormat="1" applyFont="1" applyFill="1" applyBorder="0" applyAlignment="1">
      <x:alignment vertical="center" wrapText="1"/>
    </x:xf>
    <x:xf numFmtId="0" fontId="21" fillId="14" borderId="31" xfId="0" applyNumberFormat="1" applyFont="1" applyFill="1" applyBorder="1" applyAlignment="1">
      <x:alignment vertical="center" wrapText="1"/>
    </x:xf>
    <x:xf numFmtId="0" fontId="21" fillId="14" borderId="32" xfId="0" applyNumberFormat="1" applyFont="1" applyFill="1" applyBorder="1" applyAlignment="1">
      <x:alignment vertical="center" wrapText="1"/>
    </x:xf>
    <x:xf numFmtId="0" fontId="21" fillId="14" borderId="18" xfId="0" applyNumberFormat="1" applyFont="1" applyFill="1" applyBorder="1" applyAlignment="1">
      <x:alignment vertical="center" wrapText="1"/>
    </x:xf>
    <x:xf numFmtId="0" fontId="21" fillId="14" borderId="33" xfId="0" applyNumberFormat="1" applyFont="1" applyFill="1" applyBorder="1" applyAlignment="1">
      <x:alignment vertical="center" wrapText="1"/>
    </x:xf>
    <x:xf numFmtId="0" fontId="12" fillId="9" borderId="0" xfId="0" applyNumberFormat="1" applyFont="1" applyFill="1" applyBorder="1" applyAlignment="1">
      <x:alignment vertical="center"/>
    </x:xf>
    <x:xf numFmtId="0" fontId="12" fillId="9" borderId="34" xfId="0" applyNumberFormat="1" applyFont="1" applyFill="1" applyBorder="1" applyAlignment="1">
      <x:alignment vertical="center"/>
    </x:xf>
    <x:xf numFmtId="0" fontId="12" fillId="9" borderId="35" xfId="0" applyNumberFormat="1" applyFont="1" applyFill="1" applyBorder="1" applyAlignment="1">
      <x:alignment vertical="center"/>
    </x:xf>
    <x:xf numFmtId="0" fontId="12" fillId="9" borderId="36" xfId="0" applyNumberFormat="1" applyFont="1" applyFill="1" applyBorder="1" applyAlignment="1">
      <x:alignment vertical="center"/>
    </x:xf>
    <x:xf numFmtId="0" fontId="12" fillId="15" borderId="34" xfId="0" applyNumberFormat="1" applyFont="1" applyFill="1" applyBorder="1" applyAlignment="1">
      <x:alignment vertical="center"/>
    </x:xf>
    <x:xf numFmtId="0" fontId="10" fillId="15" borderId="34" xfId="0" applyNumberFormat="1" applyFont="1" applyFill="1" applyBorder="1" applyAlignment="1">
      <x:alignment vertical="center"/>
    </x:xf>
    <x:xf numFmtId="0" fontId="10" fillId="15" borderId="34" xfId="0" applyNumberFormat="1" applyFont="1" applyFill="1" applyBorder="1" applyAlignment="1">
      <x:alignment horizontal="center" vertical="center"/>
    </x:xf>
    <x:xf numFmtId="0" fontId="12" fillId="10" borderId="36" xfId="0" applyNumberFormat="1" applyFont="1" applyFill="1" applyBorder="1" applyAlignment="1">
      <x:alignment vertical="center"/>
    </x:xf>
    <x:xf numFmtId="0" fontId="16" fillId="10" borderId="36" xfId="0" applyNumberFormat="1" applyFont="1" applyFill="1" applyBorder="1" applyAlignment="1">
      <x:alignment vertical="center"/>
    </x:xf>
    <x:xf numFmtId="0" fontId="16" fillId="10" borderId="28" xfId="0" applyNumberFormat="1" applyFont="1" applyFill="1" applyBorder="1" applyAlignment="1">
      <x:alignment vertical="center"/>
    </x:xf>
    <x:xf numFmtId="200" fontId="12" fillId="9" borderId="35" xfId="0" applyNumberFormat="1" applyFont="1" applyFill="1" applyBorder="1" applyAlignment="1">
      <x:alignment vertical="center"/>
    </x:xf>
    <x:xf numFmtId="200" fontId="16" fillId="10" borderId="28" xfId="0" applyNumberFormat="1" applyFont="1" applyFill="1" applyBorder="1" applyAlignment="1">
      <x:alignment vertical="center"/>
    </x:xf>
    <x:xf numFmtId="0" fontId="13" fillId="15" borderId="0" xfId="0" applyNumberFormat="1" applyFont="1" applyFill="1" applyBorder="1" applyAlignment="1">
      <x:alignment vertical="center"/>
    </x:xf>
    <x:xf numFmtId="0" fontId="10" fillId="15" borderId="0" xfId="0" applyNumberFormat="1" applyFont="1" applyFill="1" applyBorder="1" applyAlignment="1">
      <x:alignment vertical="center"/>
    </x:xf>
    <x:xf numFmtId="0" fontId="10" fillId="15" borderId="37" xfId="0" applyNumberFormat="1" applyFont="1" applyFill="1" applyBorder="1" applyAlignment="1">
      <x:alignment vertical="center"/>
    </x:xf>
    <x:xf numFmtId="0" fontId="10" fillId="15" borderId="38" xfId="0" applyNumberFormat="1" applyFont="1" applyFill="1" applyBorder="1" applyAlignment="1">
      <x:alignment vertical="center"/>
    </x:xf>
    <x:xf numFmtId="0" fontId="10" fillId="15" borderId="39" xfId="0" applyNumberFormat="1" applyFont="1" applyFill="1" applyBorder="1" applyAlignment="1">
      <x:alignment vertical="center"/>
    </x:xf>
    <x:xf numFmtId="0" fontId="10" fillId="15" borderId="37" xfId="0" applyNumberFormat="1" applyFont="1" applyFill="1" applyBorder="1" applyAlignment="1">
      <x:alignment horizontal="center" vertical="center"/>
    </x:xf>
    <x:xf numFmtId="0" fontId="10" fillId="15" borderId="38" xfId="0" applyNumberFormat="1" applyFont="1" applyFill="1" applyBorder="1" applyAlignment="1">
      <x:alignment horizontal="center" vertical="center"/>
    </x:xf>
    <x:xf numFmtId="0" fontId="10" fillId="15" borderId="39" xfId="0" applyNumberFormat="1" applyFont="1" applyFill="1" applyBorder="1" applyAlignment="1">
      <x:alignment horizontal="center" vertical="center"/>
    </x:xf>
    <x:xf numFmtId="0" fontId="12" fillId="9" borderId="34" xfId="0" applyNumberFormat="1" applyFont="1" applyFill="1" applyBorder="1" applyAlignment="1">
      <x:alignment vertical="center" wrapText="1"/>
    </x:xf>
    <x:xf numFmtId="0" fontId="12" fillId="9" borderId="34" xfId="0" applyNumberFormat="1" applyFont="1" applyFill="1" applyBorder="1" applyAlignment="1">
      <x:alignment horizontal="center" vertical="center" wrapText="1"/>
    </x:xf>
    <x:xf numFmtId="0" fontId="12" fillId="10" borderId="0" xfId="0" applyNumberFormat="1" applyFont="1" applyFill="1" applyBorder="1" applyAlignment="1">
      <x:alignment vertical="center"/>
    </x:xf>
    <x:xf numFmtId="0" fontId="12" fillId="10" borderId="34" xfId="0" applyNumberFormat="1" applyFont="1" applyFill="1" applyBorder="1" applyAlignment="1">
      <x:alignment vertical="center"/>
    </x:xf>
    <x:xf numFmtId="0" fontId="12" fillId="10" borderId="34" xfId="0" applyNumberFormat="1" applyFont="1" applyFill="1" applyBorder="1" applyAlignment="1">
      <x:alignment vertical="center" wrapText="1"/>
    </x:xf>
    <x:xf numFmtId="0" fontId="12" fillId="10" borderId="34" xfId="0" applyNumberFormat="1" applyFont="1" applyFill="1" applyBorder="1" applyAlignment="1">
      <x:alignment horizontal="center" vertical="center" wrapText="1"/>
    </x:xf>
    <x:xf numFmtId="0" fontId="12" fillId="11" borderId="34" xfId="0" applyNumberFormat="1" applyFont="1" applyFill="1" applyBorder="1" applyAlignment="1">
      <x:alignment horizontal="center" vertical="center" wrapText="1"/>
    </x:xf>
    <x:xf numFmtId="0" fontId="22" fillId="11" borderId="34" xfId="0" applyNumberFormat="1" applyFont="1" applyFill="1" applyBorder="1" applyAlignment="1">
      <x:alignment horizontal="center" vertical="center" wrapText="1"/>
    </x:xf>
    <x:xf numFmtId="0" fontId="12" fillId="16" borderId="34" xfId="0" applyNumberFormat="1" applyFont="1" applyFill="1" applyBorder="1" applyAlignment="1">
      <x:alignment horizontal="center" vertical="center" wrapText="1"/>
    </x:xf>
    <x:xf numFmtId="0" fontId="23" fillId="16" borderId="34" xfId="0" applyNumberFormat="1" applyFont="1" applyFill="1" applyBorder="1" applyAlignment="1">
      <x:alignment horizontal="center" vertical="center" wrapText="1"/>
    </x:xf>
    <x:xf numFmtId="0" fontId="12" fillId="12" borderId="34" xfId="0" applyNumberFormat="1" applyFont="1" applyFill="1" applyBorder="1" applyAlignment="1">
      <x:alignment horizontal="center" vertical="center" wrapText="1"/>
    </x:xf>
    <x:xf numFmtId="0" fontId="24" fillId="12" borderId="34" xfId="0" applyNumberFormat="1" applyFont="1" applyFill="1" applyBorder="1" applyAlignment="1">
      <x:alignment horizontal="center" vertical="center" wrapText="1"/>
    </x:xf>
    <x:xf numFmtId="0" fontId="10" fillId="15" borderId="40" xfId="0" applyNumberFormat="1" applyFont="1" applyFill="1" applyBorder="1" applyAlignment="1">
      <x:alignment vertical="center"/>
    </x:xf>
    <x:xf numFmtId="0" fontId="10" fillId="15" borderId="41" xfId="0" applyNumberFormat="1" applyFont="1" applyFill="1" applyBorder="1" applyAlignment="1">
      <x:alignment vertical="center"/>
    </x:xf>
    <x:xf numFmtId="0" fontId="10" fillId="15" borderId="42" xfId="0" applyNumberFormat="1" applyFont="1" applyFill="1" applyBorder="1" applyAlignment="1">
      <x:alignment vertical="center"/>
    </x:xf>
    <x:xf numFmtId="0" fontId="25" fillId="11" borderId="0" xfId="0" applyNumberFormat="1" applyFont="1" applyFill="1" applyBorder="1" applyAlignment="1">
      <x:alignment vertical="center"/>
    </x:xf>
    <x:xf numFmtId="0" fontId="25" fillId="11" borderId="19" xfId="0" applyNumberFormat="1" applyFont="1" applyFill="1" applyBorder="1" applyAlignment="1">
      <x:alignment vertical="center"/>
    </x:xf>
    <x:xf numFmtId="0" fontId="25" fillId="11" borderId="20" xfId="0" applyNumberFormat="1" applyFont="1" applyFill="1" applyBorder="1" applyAlignment="1">
      <x:alignment vertical="center"/>
    </x:xf>
    <x:xf numFmtId="0" fontId="25" fillId="11" borderId="21" xfId="0" applyNumberFormat="1" applyFont="1" applyFill="1" applyBorder="1" applyAlignment="1">
      <x:alignment vertical="center"/>
    </x:xf>
    <x:xf numFmtId="0" fontId="25" fillId="11" borderId="22" xfId="0" applyNumberFormat="1" applyFont="1" applyFill="1" applyBorder="1" applyAlignment="1">
      <x:alignment vertical="center"/>
    </x:xf>
    <x:xf numFmtId="0" fontId="25" fillId="11" xfId="0" applyNumberFormat="1" applyFont="1" applyFill="1" applyBorder="0" applyAlignment="1">
      <x:alignment vertical="center"/>
    </x:xf>
    <x:xf numFmtId="0" fontId="25" fillId="11" borderId="23" xfId="0" applyNumberFormat="1" applyFont="1" applyFill="1" applyBorder="1" applyAlignment="1">
      <x:alignment vertical="center"/>
    </x:xf>
    <x:xf numFmtId="0" fontId="25" fillId="11" borderId="24" xfId="0" applyNumberFormat="1" applyFont="1" applyFill="1" applyBorder="1" applyAlignment="1">
      <x:alignment vertical="center"/>
    </x:xf>
    <x:xf numFmtId="0" fontId="25" fillId="11" borderId="25" xfId="0" applyNumberFormat="1" applyFont="1" applyFill="1" applyBorder="1" applyAlignment="1">
      <x:alignment vertical="center"/>
    </x:xf>
    <x:xf numFmtId="0" fontId="25" fillId="11" borderId="26" xfId="0" applyNumberFormat="1" applyFont="1" applyFill="1" applyBorder="1" applyAlignment="1">
      <x:alignment vertical="center"/>
    </x:xf>
    <x:xf numFmtId="0" fontId="25" fillId="11" borderId="19" xfId="0" applyNumberFormat="1" applyFont="1" applyFill="1" applyBorder="1" applyAlignment="1">
      <x:alignment vertical="center" wrapText="1"/>
    </x:xf>
    <x:xf numFmtId="0" fontId="25" fillId="11" borderId="20" xfId="0" applyNumberFormat="1" applyFont="1" applyFill="1" applyBorder="1" applyAlignment="1">
      <x:alignment vertical="center" wrapText="1"/>
    </x:xf>
    <x:xf numFmtId="0" fontId="25" fillId="11" borderId="21" xfId="0" applyNumberFormat="1" applyFont="1" applyFill="1" applyBorder="1" applyAlignment="1">
      <x:alignment vertical="center" wrapText="1"/>
    </x:xf>
    <x:xf numFmtId="0" fontId="25" fillId="11" borderId="22" xfId="0" applyNumberFormat="1" applyFont="1" applyFill="1" applyBorder="1" applyAlignment="1">
      <x:alignment vertical="center" wrapText="1"/>
    </x:xf>
    <x:xf numFmtId="0" fontId="25" fillId="11" xfId="0" applyNumberFormat="1" applyFont="1" applyFill="1" applyBorder="0" applyAlignment="1">
      <x:alignment vertical="center" wrapText="1"/>
    </x:xf>
    <x:xf numFmtId="0" fontId="25" fillId="11" borderId="23" xfId="0" applyNumberFormat="1" applyFont="1" applyFill="1" applyBorder="1" applyAlignment="1">
      <x:alignment vertical="center" wrapText="1"/>
    </x:xf>
    <x:xf numFmtId="0" fontId="25" fillId="11" borderId="24" xfId="0" applyNumberFormat="1" applyFont="1" applyFill="1" applyBorder="1" applyAlignment="1">
      <x:alignment vertical="center" wrapText="1"/>
    </x:xf>
    <x:xf numFmtId="0" fontId="25" fillId="11" borderId="25" xfId="0" applyNumberFormat="1" applyFont="1" applyFill="1" applyBorder="1" applyAlignment="1">
      <x:alignment vertical="center" wrapText="1"/>
    </x:xf>
    <x:xf numFmtId="0" fontId="25" fillId="11" borderId="26" xfId="0" applyNumberFormat="1" applyFont="1" applyFill="1" applyBorder="1" applyAlignment="1">
      <x:alignment vertical="center" wrapText="1"/>
    </x:xf>
    <x:xf numFmtId="0" fontId="25" fillId="14" borderId="0" xfId="0" applyNumberFormat="1" applyFont="1" applyFill="1" applyBorder="1" applyAlignment="1">
      <x:alignment vertical="center"/>
    </x:xf>
    <x:xf numFmtId="0" fontId="25" fillId="14" borderId="19" xfId="0" applyNumberFormat="1" applyFont="1" applyFill="1" applyBorder="1" applyAlignment="1">
      <x:alignment vertical="center"/>
    </x:xf>
    <x:xf numFmtId="0" fontId="25" fillId="14" borderId="20" xfId="0" applyNumberFormat="1" applyFont="1" applyFill="1" applyBorder="1" applyAlignment="1">
      <x:alignment vertical="center"/>
    </x:xf>
    <x:xf numFmtId="0" fontId="25" fillId="14" borderId="21" xfId="0" applyNumberFormat="1" applyFont="1" applyFill="1" applyBorder="1" applyAlignment="1">
      <x:alignment vertical="center"/>
    </x:xf>
    <x:xf numFmtId="0" fontId="25" fillId="14" borderId="22" xfId="0" applyNumberFormat="1" applyFont="1" applyFill="1" applyBorder="1" applyAlignment="1">
      <x:alignment vertical="center"/>
    </x:xf>
    <x:xf numFmtId="0" fontId="25" fillId="14" xfId="0" applyNumberFormat="1" applyFont="1" applyFill="1" applyBorder="0" applyAlignment="1">
      <x:alignment vertical="center"/>
    </x:xf>
    <x:xf numFmtId="0" fontId="25" fillId="14" borderId="23" xfId="0" applyNumberFormat="1" applyFont="1" applyFill="1" applyBorder="1" applyAlignment="1">
      <x:alignment vertical="center"/>
    </x:xf>
    <x:xf numFmtId="0" fontId="25" fillId="14" borderId="24" xfId="0" applyNumberFormat="1" applyFont="1" applyFill="1" applyBorder="1" applyAlignment="1">
      <x:alignment vertical="center"/>
    </x:xf>
    <x:xf numFmtId="0" fontId="25" fillId="14" borderId="25" xfId="0" applyNumberFormat="1" applyFont="1" applyFill="1" applyBorder="1" applyAlignment="1">
      <x:alignment vertical="center"/>
    </x:xf>
    <x:xf numFmtId="0" fontId="25" fillId="14" borderId="26" xfId="0" applyNumberFormat="1" applyFont="1" applyFill="1" applyBorder="1" applyAlignment="1">
      <x:alignment vertical="center"/>
    </x:xf>
    <x:xf numFmtId="0" fontId="25" fillId="14" borderId="19" xfId="0" applyNumberFormat="1" applyFont="1" applyFill="1" applyBorder="1" applyAlignment="1">
      <x:alignment vertical="center" wrapText="1"/>
    </x:xf>
    <x:xf numFmtId="0" fontId="25" fillId="14" borderId="20" xfId="0" applyNumberFormat="1" applyFont="1" applyFill="1" applyBorder="1" applyAlignment="1">
      <x:alignment vertical="center" wrapText="1"/>
    </x:xf>
    <x:xf numFmtId="0" fontId="25" fillId="14" borderId="21" xfId="0" applyNumberFormat="1" applyFont="1" applyFill="1" applyBorder="1" applyAlignment="1">
      <x:alignment vertical="center" wrapText="1"/>
    </x:xf>
    <x:xf numFmtId="0" fontId="25" fillId="14" borderId="22" xfId="0" applyNumberFormat="1" applyFont="1" applyFill="1" applyBorder="1" applyAlignment="1">
      <x:alignment vertical="center" wrapText="1"/>
    </x:xf>
    <x:xf numFmtId="0" fontId="25" fillId="14" xfId="0" applyNumberFormat="1" applyFont="1" applyFill="1" applyBorder="0" applyAlignment="1">
      <x:alignment vertical="center" wrapText="1"/>
    </x:xf>
    <x:xf numFmtId="0" fontId="25" fillId="14" borderId="23" xfId="0" applyNumberFormat="1" applyFont="1" applyFill="1" applyBorder="1" applyAlignment="1">
      <x:alignment vertical="center" wrapText="1"/>
    </x:xf>
    <x:xf numFmtId="0" fontId="25" fillId="14" borderId="24" xfId="0" applyNumberFormat="1" applyFont="1" applyFill="1" applyBorder="1" applyAlignment="1">
      <x:alignment vertical="center" wrapText="1"/>
    </x:xf>
    <x:xf numFmtId="0" fontId="25" fillId="14" borderId="25" xfId="0" applyNumberFormat="1" applyFont="1" applyFill="1" applyBorder="1" applyAlignment="1">
      <x:alignment vertical="center" wrapText="1"/>
    </x:xf>
    <x:xf numFmtId="0" fontId="25" fillId="14" borderId="26" xfId="0" applyNumberFormat="1" applyFont="1" applyFill="1" applyBorder="1" applyAlignment="1">
      <x:alignment vertical="center" wrapText="1"/>
    </x:xf>
    <x:xf numFmtId="0" fontId="25" fillId="12" borderId="0" xfId="0" applyNumberFormat="1" applyFont="1" applyFill="1" applyBorder="1" applyAlignment="1">
      <x:alignment vertical="center"/>
    </x:xf>
    <x:xf numFmtId="0" fontId="25" fillId="12" borderId="19" xfId="0" applyNumberFormat="1" applyFont="1" applyFill="1" applyBorder="1" applyAlignment="1">
      <x:alignment vertical="center"/>
    </x:xf>
    <x:xf numFmtId="0" fontId="25" fillId="12" borderId="20" xfId="0" applyNumberFormat="1" applyFont="1" applyFill="1" applyBorder="1" applyAlignment="1">
      <x:alignment vertical="center"/>
    </x:xf>
    <x:xf numFmtId="0" fontId="25" fillId="12" borderId="21" xfId="0" applyNumberFormat="1" applyFont="1" applyFill="1" applyBorder="1" applyAlignment="1">
      <x:alignment vertical="center"/>
    </x:xf>
    <x:xf numFmtId="0" fontId="25" fillId="12" borderId="22" xfId="0" applyNumberFormat="1" applyFont="1" applyFill="1" applyBorder="1" applyAlignment="1">
      <x:alignment vertical="center"/>
    </x:xf>
    <x:xf numFmtId="0" fontId="25" fillId="12" xfId="0" applyNumberFormat="1" applyFont="1" applyFill="1" applyBorder="0" applyAlignment="1">
      <x:alignment vertical="center"/>
    </x:xf>
    <x:xf numFmtId="0" fontId="25" fillId="12" borderId="23" xfId="0" applyNumberFormat="1" applyFont="1" applyFill="1" applyBorder="1" applyAlignment="1">
      <x:alignment vertical="center"/>
    </x:xf>
    <x:xf numFmtId="0" fontId="25" fillId="12" borderId="24" xfId="0" applyNumberFormat="1" applyFont="1" applyFill="1" applyBorder="1" applyAlignment="1">
      <x:alignment vertical="center"/>
    </x:xf>
    <x:xf numFmtId="0" fontId="25" fillId="12" borderId="25" xfId="0" applyNumberFormat="1" applyFont="1" applyFill="1" applyBorder="1" applyAlignment="1">
      <x:alignment vertical="center"/>
    </x:xf>
    <x:xf numFmtId="0" fontId="25" fillId="12" borderId="26" xfId="0" applyNumberFormat="1" applyFont="1" applyFill="1" applyBorder="1" applyAlignment="1">
      <x:alignment vertical="center"/>
    </x:xf>
    <x:xf numFmtId="0" fontId="25" fillId="12" borderId="19" xfId="0" applyNumberFormat="1" applyFont="1" applyFill="1" applyBorder="1" applyAlignment="1">
      <x:alignment vertical="center" wrapText="1"/>
    </x:xf>
    <x:xf numFmtId="0" fontId="25" fillId="12" borderId="20" xfId="0" applyNumberFormat="1" applyFont="1" applyFill="1" applyBorder="1" applyAlignment="1">
      <x:alignment vertical="center" wrapText="1"/>
    </x:xf>
    <x:xf numFmtId="0" fontId="25" fillId="12" borderId="21" xfId="0" applyNumberFormat="1" applyFont="1" applyFill="1" applyBorder="1" applyAlignment="1">
      <x:alignment vertical="center" wrapText="1"/>
    </x:xf>
    <x:xf numFmtId="0" fontId="25" fillId="12" borderId="22" xfId="0" applyNumberFormat="1" applyFont="1" applyFill="1" applyBorder="1" applyAlignment="1">
      <x:alignment vertical="center" wrapText="1"/>
    </x:xf>
    <x:xf numFmtId="0" fontId="25" fillId="12" xfId="0" applyNumberFormat="1" applyFont="1" applyFill="1" applyBorder="0" applyAlignment="1">
      <x:alignment vertical="center" wrapText="1"/>
    </x:xf>
    <x:xf numFmtId="0" fontId="25" fillId="12" borderId="23" xfId="0" applyNumberFormat="1" applyFont="1" applyFill="1" applyBorder="1" applyAlignment="1">
      <x:alignment vertical="center" wrapText="1"/>
    </x:xf>
    <x:xf numFmtId="0" fontId="25" fillId="12" borderId="24" xfId="0" applyNumberFormat="1" applyFont="1" applyFill="1" applyBorder="1" applyAlignment="1">
      <x:alignment vertical="center" wrapText="1"/>
    </x:xf>
    <x:xf numFmtId="0" fontId="25" fillId="12" borderId="25" xfId="0" applyNumberFormat="1" applyFont="1" applyFill="1" applyBorder="1" applyAlignment="1">
      <x:alignment vertical="center" wrapText="1"/>
    </x:xf>
    <x:xf numFmtId="0" fontId="25" fillId="12" borderId="26" xfId="0" applyNumberFormat="1" applyFont="1" applyFill="1" applyBorder="1" applyAlignment="1">
      <x:alignment vertical="center" wrapText="1"/>
    </x:xf>
    <x:xf numFmtId="0" fontId="15" fillId="9" borderId="28" xfId="0" applyNumberFormat="1" applyFont="1" applyFill="1" applyBorder="1" applyAlignment="1">
      <x:alignment vertical="center"/>
    </x:xf>
    <x:xf numFmtId="0" fontId="3" fillId="0" borderId="4" xfId="0" applyNumberFormat="1" applyFont="1" applyFill="1" applyBorder="1" applyAlignment="1">
      <x:alignment vertical="center" wrapText="1"/>
    </x:xf>
    <x:xf numFmtId="0" fontId="4" fillId="0" borderId="5" xfId="0" applyNumberFormat="1" applyFont="1" applyFill="1" applyBorder="1" applyAlignment="1">
      <x:alignment vertical="center" wrapText="1"/>
    </x:xf>
    <x:xf numFmtId="0" fontId="3" fillId="0" borderId="6" xfId="0" applyNumberFormat="1" applyFont="1" applyFill="1" applyBorder="1" applyAlignment="1">
      <x:alignment vertical="center" wrapText="1"/>
    </x:xf>
    <x:xf numFmtId="0" fontId="4" fillId="0" borderId="7" xfId="0" applyNumberFormat="1" applyFont="1" applyFill="1" applyBorder="1" applyAlignment="1">
      <x:alignment vertical="center" wrapText="1"/>
    </x:xf>
  </x:cellXfs>
  <x:cellStyles count="1">
    <x:cellStyle name="Normal" xfId="0"/>
  </x:cellStyles>
  <x:dxfs count="6">
    <x:dxf>
      <x:font>
        <x:b/>
        <x:color rgb="FF7A4A00"/>
      </x:font>
      <x:fill>
        <x:patternFill>
          <x:bgColor rgb="FFFFF4D6"/>
        </x:patternFill>
      </x:fill>
    </x:dxf>
    <x:dxf>
      <x:font>
        <x:b/>
        <x:color rgb="FF9B1C1C"/>
      </x:font>
      <x:fill>
        <x:patternFill>
          <x:bgColor rgb="FFFCE8E6"/>
        </x:patternFill>
      </x:fill>
    </x:dxf>
    <x:dxf>
      <x:font>
        <x:b/>
        <x:color rgb="FF1B5E37"/>
      </x:font>
      <x:fill>
        <x:patternFill>
          <x:bgColor rgb="FFE8F3EC"/>
        </x:patternFill>
      </x:fill>
    </x:dxf>
    <x:dxf>
      <x:font>
        <x:b/>
        <x:color rgb="FF7A4A00"/>
      </x:font>
      <x:fill>
        <x:patternFill>
          <x:bgColor rgb="FFFFF4D6"/>
        </x:patternFill>
      </x:fill>
    </x:dxf>
    <x:dxf>
      <x:font>
        <x:b/>
        <x:color rgb="FF9B1C1C"/>
      </x:font>
      <x:fill>
        <x:patternFill>
          <x:bgColor rgb="FFFCE8E6"/>
        </x:patternFill>
      </x:fill>
    </x:dxf>
    <x:dxf>
      <x:font>
        <x:b/>
        <x:color rgb="FF1B5E37"/>
      </x:font>
      <x:fill>
        <x:patternFill>
          <x:bgColor rgb="FFE8F3EC"/>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2199506eff8d4387" /><Relationship Type="http://schemas.openxmlformats.org/officeDocument/2006/relationships/theme" Target="/xl/theme/theme1.xml" Id="Rc4122eceb8fa406b" /><Relationship Type="http://schemas.openxmlformats.org/officeDocument/2006/relationships/sharedStrings" Target="/xl/sharedStrings.xml" Id="Rad6dc114b41b4222" /><Relationship Type="http://schemas.openxmlformats.org/officeDocument/2006/relationships/worksheet" Target="/xl/worksheets/sheet1.xml" Id="Re7b97e5ba40d492f" /><Relationship Type="http://schemas.openxmlformats.org/officeDocument/2006/relationships/worksheet" Target="/xl/worksheets/sheet2.xml" Id="R88bca97aedaf4eae" /><Relationship Type="http://schemas.openxmlformats.org/officeDocument/2006/relationships/worksheet" Target="/xl/worksheets/sheet3.xml" Id="R47b3d33ed07d456d" /><Relationship Type="http://schemas.openxmlformats.org/officeDocument/2006/relationships/worksheet" Target="/xl/worksheets/sheet4.xml" Id="Rcb6111ba03c14ed5" /><Relationship Type="http://schemas.openxmlformats.org/officeDocument/2006/relationships/worksheet" Target="/xl/worksheets/sheet5.xml" Id="R25514e2f7e02458c" /></Relationships>
</file>

<file path=xl/drawings/_rels/drawing1.xml.rels>&#65279;<?xml version="1.0" encoding="utf-8"?><Relationships xmlns="http://schemas.openxmlformats.org/package/2006/relationships"><Relationship Type="http://schemas.openxmlformats.org/officeDocument/2006/relationships/chart" Target="/xl/drawings/charts/chart1.xml" Id="R6461e5acfec149f2" /><Relationship Type="http://schemas.openxmlformats.org/officeDocument/2006/relationships/chart" Target="/xl/drawings/charts/chart2.xml" Id="R4be1ced7ffbd4753" /></Relationships>
</file>

<file path=xl/drawings/charts/chart1.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rPr sz="825">
                <a:latin typeface="Arial"/>
                <a:ea typeface="Arial"/>
                <a:cs typeface="Arial"/>
              </a:rPr>
              <a:t>Evidence confidence (records)</a:t>
            </a:r>
          </a:p>
        </c:rich>
      </c:tx>
      <c:overlay val="0"/>
      <c:txPr>
        <a:bodyPr xmlns:a="http://schemas.openxmlformats.org/drawingml/2006/main" anchorCtr="1"/>
        <a:lstStyle xmlns:a="http://schemas.openxmlformats.org/drawingml/2006/main"/>
        <a:p xmlns:a="http://schemas.openxmlformats.org/drawingml/2006/main">
          <a:pPr>
            <a:defRPr sz="825">
              <a:latin typeface="Arial"/>
              <a:ea typeface="Arial"/>
              <a:cs typeface="Arial"/>
            </a:defRPr>
          </a:pPr>
        </a:p>
      </c:txPr>
    </c:title>
    <c:plotArea>
      <c:barChart>
        <c:barDir val="col"/>
        <c:varyColors val="0"/>
        <c:ser>
          <c:idx val="0"/>
          <c:order val="0"/>
          <c:tx>
            <c:v>Records</c:v>
          </c:tx>
          <c:spPr>
            <a:solidFill xmlns:a="http://schemas.openxmlformats.org/drawingml/2006/main">
              <a:srgbClr val="2F6B96"/>
            </a:solidFill>
          </c:spPr>
          <c:cat>
            <c:strRef>
              <c:f>'Dashboard'!$A$17:$A$21</c:f>
              <c:strCache>
                <c:ptCount val="0"/>
              </c:strCache>
            </c:strRef>
          </c:cat>
          <c:val>
            <c:numRef>
              <c:f>'Dashboard'!$B$17:$B$21</c:f>
              <c:numCache>
                <c:formatCode>#,##0</c:formatCode>
                <c:ptCount val="0"/>
              </c:numCache>
            </c:numRef>
          </c:val>
        </c:ser>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crossAx val="48672768"/>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General"/>
        <c:majorTickMark val="none"/>
        <c:minorTickMark val="none"/>
        <c:crossAx val="48650112"/>
        <c:crossBetween val="between"/>
      </c:valAx>
    </c:plotArea>
    <c:plotVisOnly val="1"/>
  </c:chart>
  <c:spPr>
    <a:ln xmlns:a="http://schemas.openxmlformats.org/drawingml/2006/main" w="9525">
      <a:solidFill>
        <a:srgbClr val="D9D9D9"/>
      </a:solidFill>
      <a:prstDash val="solid"/>
    </a:ln>
  </c:spPr>
</c:chartSpace>
</file>

<file path=xl/drawings/charts/chart2.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rPr sz="825">
                <a:latin typeface="Arial"/>
                <a:ea typeface="Arial"/>
                <a:cs typeface="Arial"/>
              </a:rPr>
              <a:t>Evidence group (records)</a:t>
            </a:r>
          </a:p>
        </c:rich>
      </c:tx>
      <c:overlay val="0"/>
      <c:txPr>
        <a:bodyPr xmlns:a="http://schemas.openxmlformats.org/drawingml/2006/main" anchorCtr="1"/>
        <a:lstStyle xmlns:a="http://schemas.openxmlformats.org/drawingml/2006/main"/>
        <a:p xmlns:a="http://schemas.openxmlformats.org/drawingml/2006/main">
          <a:pPr>
            <a:defRPr sz="825">
              <a:latin typeface="Arial"/>
              <a:ea typeface="Arial"/>
              <a:cs typeface="Arial"/>
            </a:defRPr>
          </a:pPr>
        </a:p>
      </c:txPr>
    </c:title>
    <c:plotArea>
      <c:barChart>
        <c:barDir val="col"/>
        <c:varyColors val="0"/>
        <c:ser>
          <c:idx val="0"/>
          <c:order val="0"/>
          <c:tx>
            <c:v>Records</c:v>
          </c:tx>
          <c:spPr>
            <a:solidFill xmlns:a="http://schemas.openxmlformats.org/drawingml/2006/main">
              <a:srgbClr val="2CA6A4"/>
            </a:solidFill>
          </c:spPr>
          <c:cat>
            <c:strRef>
              <c:f>'Dashboard'!$G$17:$G$21</c:f>
              <c:strCache>
                <c:ptCount val="0"/>
              </c:strCache>
            </c:strRef>
          </c:cat>
          <c:val>
            <c:numRef>
              <c:f>'Dashboard'!$H$17:$H$21</c:f>
              <c:numCache>
                <c:formatCode>#,##0</c:formatCode>
                <c:ptCount val="0"/>
              </c:numCache>
            </c:numRef>
          </c:val>
        </c:ser>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crossAx val="48672768"/>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General"/>
        <c:majorTickMark val="none"/>
        <c:minorTickMark val="none"/>
        <c:crossAx val="48650112"/>
        <c:crossBetween val="between"/>
      </c:valAx>
    </c:plotArea>
    <c:plotVisOnly val="1"/>
  </c:chart>
  <c:spPr>
    <a:ln xmlns:a="http://schemas.openxmlformats.org/drawingml/2006/main" w="9525">
      <a:solidFill>
        <a:srgbClr val="D9D9D9"/>
      </a:solidFill>
      <a:prstDash val="solid"/>
    </a:ln>
  </c:spPr>
</c:chartSpace>
</file>

<file path=xl/drawings/drawing1.xml><?xml version="1.0" encoding="utf-8"?>
<xdr:wsDr xmlns:xdr="http://schemas.openxmlformats.org/drawingml/2006/spreadsheetDrawing">
  <xdr:twoCellAnchor>
    <xdr:from>
      <xdr:col>2</xdr:col>
      <xdr:colOff>0</xdr:colOff>
      <xdr:row>15</xdr:row>
      <xdr:rowOff>0</xdr:rowOff>
    </xdr:from>
    <xdr:to>
      <xdr:col>6</xdr:col>
      <xdr:colOff>0</xdr:colOff>
      <xdr:row>26</xdr:row>
      <xdr:rowOff>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6461e5acfec149f2"/>
        </a:graphicData>
      </a:graphic>
    </xdr:graphicFrame>
    <xdr:clientData/>
  </xdr:twoCellAnchor>
  <xdr:twoCellAnchor>
    <xdr:from>
      <xdr:col>8</xdr:col>
      <xdr:colOff>0</xdr:colOff>
      <xdr:row>15</xdr:row>
      <xdr:rowOff>0</xdr:rowOff>
    </xdr:from>
    <xdr:to>
      <xdr:col>12</xdr:col>
      <xdr:colOff>0</xdr:colOff>
      <xdr:row>26</xdr:row>
      <xdr:rowOff>0</xdr:rowOff>
    </xdr:to>
    <xdr:graphicFrame macro="">
      <xdr:nvGraphicFramePr>
        <xdr:cNvPr id="2"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4be1ced7ffbd4753"/>
        </a:graphicData>
      </a:graphic>
    </xdr:graphicFrame>
    <xdr:clientData/>
  </xdr:twoCellAnchor>
</xdr:wsDr>
</file>

<file path=xl/tables/table1.xml><?xml version="1.0" encoding="utf-8"?>
<x:table xmlns:x="http://schemas.openxmlformats.org/spreadsheetml/2006/main" id="5" name="HypothesesTable" displayName="HypothesesTable" ref="A1:F10" headerRowCount="1" totalsRowCount="0" totalsRowShown="0">
  <x:tableColumns count="6">
    <x:tableColumn id="1" name="Hypothesis"/>
    <x:tableColumn id="2" name="What public evidence supports"/>
    <x:tableColumn id="3" name="What it does not prove"/>
    <x:tableColumn id="4" name="Interview test"/>
    <x:tableColumn id="5" name="Decision rule"/>
    <x:tableColumn id="6" name="Status"/>
  </x:tableColumns>
  <x:tableStyleInfo name="TableStyleMedium2" showFirstColumn="0" showLastColumn="0" showRowStripes="1" showColumnStripes="0"/>
</x:table>
</file>

<file path=xl/tables/table2.xml><?xml version="1.0" encoding="utf-8"?>
<x:table xmlns:x="http://schemas.openxmlformats.org/spreadsheetml/2006/main" id="3" name="EvidenceTable" displayName="EvidenceTable" ref="A1:N92" headerRowCount="1" totalsRowCount="0" totalsRowShown="0">
  <x:tableColumns count="14">
    <x:tableColumn id="1" name="evidence_id"/>
    <x:tableColumn id="2" name="source_id"/>
    <x:tableColumn id="3" name="source_title"/>
    <x:tableColumn id="4" name="publisher"/>
    <x:tableColumn id="5" name="evidence_type"/>
    <x:tableColumn id="6" name="product_or_scope"/>
    <x:tableColumn id="7" name="segment_or_sample"/>
    <x:tableColumn id="8" name="role_or_population"/>
    <x:tableColumn id="9" name="theme"/>
    <x:tableColumn id="10" name="finding"/>
    <x:tableColumn id="11" name="strategic_implication"/>
    <x:tableColumn id="12" name="confidence"/>
    <x:tableColumn id="13" name="limitation"/>
    <x:tableColumn id="14" name="source_url"/>
  </x:tableColumns>
  <x:tableStyleInfo name="TableStyleMedium2" showFirstColumn="0" showLastColumn="0" showRowStripes="1" showColumnStripes="0"/>
</x:table>
</file>

<file path=xl/tables/table3.xml><?xml version="1.0" encoding="utf-8"?>
<x:table xmlns:x="http://schemas.openxmlformats.org/spreadsheetml/2006/main" id="4" name="SourcesTable" displayName="SourcesTable" ref="A1:K66" headerRowCount="1" totalsRowCount="0" totalsRowShown="0">
  <x:tableColumns count="11">
    <x:tableColumn id="1" name="source_id"/>
    <x:tableColumn id="2" name="title"/>
    <x:tableColumn id="3" name="publisher"/>
    <x:tableColumn id="4" name="source_type"/>
    <x:tableColumn id="5" name="date_published"/>
    <x:tableColumn id="6" name="accessed_date"/>
    <x:tableColumn id="7" name="sample_or_scope"/>
    <x:tableColumn id="8" name="evidence_strength"/>
    <x:tableColumn id="9" name="bias_risk"/>
    <x:tableColumn id="10" name="url"/>
    <x:tableColumn id="11" name="used_for"/>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6a2205c0d25a439d" /></Relationships>
</file>

<file path=xl/worksheets/_rels/sheet3.xml.rels>&#65279;<?xml version="1.0" encoding="utf-8"?><Relationships xmlns="http://schemas.openxmlformats.org/package/2006/relationships"><Relationship Type="http://schemas.openxmlformats.org/officeDocument/2006/relationships/table" Target="/xl/tables/table2.xml" Id="R01133c6ede4f4f69" /></Relationships>
</file>

<file path=xl/worksheets/_rels/sheet4.xml.rels>&#65279;<?xml version="1.0" encoding="utf-8"?><Relationships xmlns="http://schemas.openxmlformats.org/package/2006/relationships"><Relationship Type="http://schemas.openxmlformats.org/officeDocument/2006/relationships/table" Target="/xl/tables/table3.xml" Id="Rbbd31954611d45b6" /></Relationships>
</file>

<file path=xl/worksheets/_rels/sheet5.xml.rels>&#65279;<?xml version="1.0" encoding="utf-8"?><Relationships xmlns="http://schemas.openxmlformats.org/package/2006/relationships"><Relationship Type="http://schemas.openxmlformats.org/officeDocument/2006/relationships/drawing" Target="/xl/drawings/drawing1.xml" Id="R2b7fb6ad1d784927" /></Relationships>
</file>

<file path=xl/worksheets/sheet1.xml><?xml version="1.0" encoding="utf-8"?>
<x:worksheet xmlns:x="http://schemas.openxmlformats.org/spreadsheetml/2006/main">
  <x:sheetPr>
    <x:tabColor rgb="FF18324A"/>
  </x:sheetPr>
  <x:sheetViews>
    <x:sheetView showGridLines="0" workbookViewId="0"/>
  </x:sheetViews>
  <x:sheetFormatPr defaultRowHeight="15"/>
  <x:cols>
    <x:col min="1" max="1" width="28" hidden="0" customWidth="1"/>
    <x:col min="2" max="2" width="22" hidden="0" customWidth="1"/>
    <x:col min="3" max="3" width="24" hidden="0" customWidth="1"/>
    <x:col min="4" max="4" width="17" hidden="0" customWidth="1"/>
    <x:col min="5" max="5" width="27" hidden="0" customWidth="1"/>
    <x:col min="6" max="6" width="20" hidden="0" customWidth="1"/>
    <x:col min="7" max="7" width="17" hidden="0" customWidth="1"/>
    <x:col min="8" max="8" width="22" hidden="0" customWidth="1"/>
  </x:cols>
  <x:sheetData>
    <x:row r="1" ht="20" customHeight="1">
      <x:c r="A1" s="50"/>
      <x:c r="B1" s="50"/>
      <x:c r="C1" s="50"/>
      <x:c r="D1" s="50"/>
      <x:c r="E1" s="50"/>
      <x:c r="F1" s="50"/>
      <x:c r="G1" s="50"/>
      <x:c r="H1" s="50"/>
    </x:row>
    <x:row r="2" ht="28" customHeight="1">
      <x:c r="A2" s="51" t="str">
        <x:v>B2B AI Customer Operations Evidence</x:v>
      </x:c>
      <x:c r="B2" s="51"/>
      <x:c r="C2" s="51"/>
      <x:c r="D2" s="51"/>
      <x:c r="E2" s="51"/>
      <x:c r="F2" s="51"/>
      <x:c r="G2" s="51"/>
      <x:c r="H2" s="51"/>
    </x:row>
    <x:row r="3" ht="20" customHeight="1">
      <x:c r="A3" s="52"/>
      <x:c r="B3" s="52"/>
      <x:c r="C3" s="52"/>
      <x:c r="D3" s="52"/>
      <x:c r="E3" s="52"/>
      <x:c r="F3" s="52"/>
      <x:c r="G3" s="52"/>
      <x:c r="H3" s="52"/>
    </x:row>
    <x:row r="4" ht="20" customHeight="1">
      <x:c r="A4" s="50"/>
      <x:c r="B4" s="50"/>
      <x:c r="C4" s="50"/>
      <x:c r="D4" s="50"/>
      <x:c r="E4" s="50"/>
      <x:c r="F4" s="50"/>
      <x:c r="G4" s="50"/>
      <x:c r="H4" s="50"/>
    </x:row>
    <x:row r="5" ht="20" customHeight="1">
      <x:c r="A5" s="53" t="str">
        <x:v>Evidence records</x:v>
      </x:c>
      <x:c r="B5" s="54" t="n">
        <x:v>91</x:v>
      </x:c>
      <x:c r="C5" s="50"/>
      <x:c r="D5" s="55" t="str">
        <x:v>Decision</x:v>
      </x:c>
      <x:c r="E5" s="56"/>
      <x:c r="F5" s="56"/>
      <x:c r="G5" s="56"/>
      <x:c r="H5" s="57"/>
    </x:row>
    <x:row r="6" ht="25" customHeight="1">
      <x:c r="A6" s="294" t="str">
        <x:v>Sources in register</x:v>
      </x:c>
      <x:c r="B6" s="295" t="n">
        <x:v>65</x:v>
      </x:c>
      <x:c r="C6" s="50"/>
      <x:c r="D6" s="21" t="str">
        <x:v>Four anonymized interviews now include two mid-market B2B participants (one frontline practitioner and one application-approval stakeholder) plus two enterprise frontline practitioners. P01 and P04 independently described manual context transfer during complex escalations. P03 described a restricted one-month pilot using limited queues with write-back disabled, while P02 reinforced audit and approval constraints. This strengthens the assist-first context-and-handoff hypothesis but does not validate the economic buyer, willingness to pay, pilot demand or preference for a separate layer.</x:v>
      </x:c>
      <x:c r="E6" s="17"/>
      <x:c r="F6" s="17"/>
      <x:c r="G6" s="17"/>
      <x:c r="H6" s="22"/>
    </x:row>
    <x:row r="7" ht="25" customHeight="1">
      <x:c r="A7" s="294" t="str">
        <x:v>Evidence-linked sources</x:v>
      </x:c>
      <x:c r="B7" s="295" t="n">
        <x:v>56</x:v>
      </x:c>
      <x:c r="C7" s="50"/>
      <x:c r="D7" s="21"/>
      <x:c r="E7" s="17"/>
      <x:c r="F7" s="17"/>
      <x:c r="G7" s="17"/>
      <x:c r="H7" s="22"/>
    </x:row>
    <x:row r="8" ht="25" customHeight="1">
      <x:c r="A8" s="296" t="str">
        <x:v>Customer interviews completed</x:v>
      </x:c>
      <x:c r="B8" s="297" t="n">
        <x:v>4</x:v>
      </x:c>
      <x:c r="C8" s="50"/>
      <x:c r="D8" s="23"/>
      <x:c r="E8" s="24"/>
      <x:c r="F8" s="24"/>
      <x:c r="G8" s="24"/>
      <x:c r="H8" s="25"/>
    </x:row>
    <x:row r="9" ht="20" customHeight="1">
      <x:c r="A9" s="50"/>
      <x:c r="B9" s="50"/>
      <x:c r="C9" s="50"/>
      <x:c r="D9" s="50"/>
      <x:c r="E9" s="50"/>
      <x:c r="F9" s="50"/>
      <x:c r="G9" s="50"/>
      <x:c r="H9" s="50"/>
    </x:row>
    <x:row r="10" ht="20" customHeight="1">
      <x:c r="A10" s="50"/>
      <x:c r="B10" s="50"/>
      <x:c r="C10" s="50"/>
      <x:c r="D10" s="50"/>
      <x:c r="E10" s="50"/>
      <x:c r="F10" s="50"/>
      <x:c r="G10" s="50"/>
      <x:c r="H10" s="50"/>
    </x:row>
    <x:row r="11" ht="20" customHeight="1">
      <x:c r="A11" s="31" t="str">
        <x:v>Question</x:v>
      </x:c>
      <x:c r="B11" s="31" t="str">
        <x:v>Public evidence</x:v>
      </x:c>
      <x:c r="C11" s="31" t="str">
        <x:v>Current answer</x:v>
      </x:c>
      <x:c r="D11" s="31" t="str">
        <x:v>Confidence</x:v>
      </x:c>
      <x:c r="E11" s="31" t="str">
        <x:v>Primary-research gap</x:v>
      </x:c>
      <x:c r="F11" s="31" t="str">
        <x:v>Decision effect</x:v>
      </x:c>
      <x:c r="G11" s="31" t="str">
        <x:v>Owner</x:v>
      </x:c>
      <x:c r="H11" s="31" t="str">
        <x:v>Status</x:v>
      </x:c>
    </x:row>
    <x:row r="12" ht="54" customHeight="1">
      <x:c r="A12" s="62" t="str">
        <x:v>Is the category large and frequently used?</x:v>
      </x:c>
      <x:c r="B12" s="62" t="str">
        <x:v>Market estimates and large operational datasets</x:v>
      </x:c>
      <x:c r="C12" s="62" t="str">
        <x:v>Yes directionally; definitions vary</x:v>
      </x:c>
      <x:c r="D12" s="62" t="str">
        <x:v>Medium</x:v>
      </x:c>
      <x:c r="E12" s="62" t="str">
        <x:v>Bottom-up serviceable market</x:v>
      </x:c>
      <x:c r="F12" s="62" t="str">
        <x:v>Sets context only</x:v>
      </x:c>
      <x:c r="G12" s="62" t="str">
        <x:v>Research</x:v>
      </x:c>
      <x:c r="H12" s="62" t="str">
        <x:v>Supported directionally</x:v>
      </x:c>
    </x:row>
    <x:row r="13" ht="54" customHeight="1">
      <x:c r="A13" s="62" t="str">
        <x:v>Is AI adoption increasing?</x:v>
      </x:c>
      <x:c r="B13" s="62" t="str">
        <x:v>Independent and vendor surveys</x:v>
      </x:c>
      <x:c r="C13" s="62" t="str">
        <x:v>Yes; mature deployment remains limited</x:v>
      </x:c>
      <x:c r="D13" s="62" t="str">
        <x:v>Medium-high</x:v>
      </x:c>
      <x:c r="E13" s="62" t="str">
        <x:v>Target-segment adoption</x:v>
      </x:c>
      <x:c r="F13" s="62" t="str">
        <x:v>Supports timing</x:v>
      </x:c>
      <x:c r="G13" s="62" t="str">
        <x:v>Research</x:v>
      </x:c>
      <x:c r="H13" s="62" t="str">
        <x:v>Supported directionally</x:v>
      </x:c>
    </x:row>
    <x:row r="14" ht="54" customHeight="1">
      <x:c r="A14" s="62" t="str">
        <x:v>Are integrations governance and actions whitespace?</x:v>
      </x:c>
      <x:c r="B14" s="62" t="str">
        <x:v>Official competitor documentation</x:v>
      </x:c>
      <x:c r="C14" s="62" t="str">
        <x:v>No; incumbents already offer them</x:v>
      </x:c>
      <x:c r="D14" s="62" t="str">
        <x:v>High</x:v>
      </x:c>
      <x:c r="E14" s="62" t="str">
        <x:v>Depth and implementation gaps</x:v>
      </x:c>
      <x:c r="F14" s="62" t="str">
        <x:v>Rejects generic positioning</x:v>
      </x:c>
      <x:c r="G14" s="62" t="str">
        <x:v>Strategy</x:v>
      </x:c>
      <x:c r="H14" s="62" t="str">
        <x:v>Rejected as differentiation</x:v>
      </x:c>
    </x:row>
    <x:row r="15" ht="54" customHeight="1">
      <x:c r="A15" s="62" t="str">
        <x:v>Is 51-1000 employee B2B technology the best beachhead?</x:v>
      </x:c>
      <x:c r="B15" s="62" t="str">
        <x:v>Review metadata and broad surveys</x:v>
      </x:c>
      <x:c r="C15" s="62" t="str">
        <x:v>Plausible; two mid-market participants now sampled</x:v>
      </x:c>
      <x:c r="D15" s="62" t="str">
        <x:v>Medium</x:v>
      </x:c>
      <x:c r="E15" s="62" t="str">
        <x:v>Manager, economic buyer and lower-maturity team</x:v>
      </x:c>
      <x:c r="F15" s="62" t="str">
        <x:v>Controls ICP</x:v>
      </x:c>
      <x:c r="G15" s="62" t="str">
        <x:v>Discovery</x:v>
      </x:c>
      <x:c r="H15" s="62" t="str">
        <x:v>Partially supported</x:v>
      </x:c>
    </x:row>
    <x:row r="16" ht="54" customHeight="1">
      <x:c r="A16" s="62" t="str">
        <x:v>Which workflow should be solved first?</x:v>
      </x:c>
      <x:c r="B16" s="62" t="str">
        <x:v>Cross-system pain patterns only</x:v>
      </x:c>
      <x:c r="C16" s="62" t="str">
        <x:v>Complex escalation context and handoff leads (2 mentions)</x:v>
      </x:c>
      <x:c r="D16" s="62" t="str">
        <x:v>Medium-low</x:v>
      </x:c>
      <x:c r="E16" s="62" t="str">
        <x:v>Repeat in at least 4 participants and quantify impact</x:v>
      </x:c>
      <x:c r="F16" s="62" t="str">
        <x:v>Controls product scope</x:v>
      </x:c>
      <x:c r="G16" s="62" t="str">
        <x:v>Discovery</x:v>
      </x:c>
      <x:c r="H16" s="62" t="str">
        <x:v>Leading hypothesis</x:v>
      </x:c>
    </x:row>
    <x:row r="17" ht="54" customHeight="1">
      <x:c r="A17" s="62" t="str">
        <x:v>Will customers add a separate layer?</x:v>
      </x:c>
      <x:c r="B17" s="62" t="str">
        <x:v>No direct buying evidence</x:v>
      </x:c>
      <x:c r="C17" s="62" t="str">
        <x:v>Unknown; added-system duplication risk was explicit</x:v>
      </x:c>
      <x:c r="D17" s="62" t="str">
        <x:v>Low-medium</x:v>
      </x:c>
      <x:c r="E17" s="62" t="str">
        <x:v>Buyer preference, incumbent comparison and paid pilot</x:v>
      </x:c>
      <x:c r="F17" s="62" t="str">
        <x:v>Go or no-go</x:v>
      </x:c>
      <x:c r="G17" s="62" t="str">
        <x:v>Discovery</x:v>
      </x:c>
      <x:c r="H17" s="62" t="str">
        <x:v>Unproven</x:v>
      </x:c>
    </x:row>
    <x:row r="18" ht="54" customHeight="1">
      <x:c r="A18" s="62" t="str">
        <x:v>Can pricing be predictable and profitable?</x:v>
      </x:c>
      <x:c r="B18" s="62" t="str">
        <x:v>Public pricing and cost complaints</x:v>
      </x:c>
      <x:c r="C18" s="62" t="str">
        <x:v>Need workflow economics</x:v>
      </x:c>
      <x:c r="D18" s="62" t="str">
        <x:v>Low-medium</x:v>
      </x:c>
      <x:c r="E18" s="62" t="str">
        <x:v>Budget threshold and operating cost</x:v>
      </x:c>
      <x:c r="F18" s="62" t="str">
        <x:v>Controls business model</x:v>
      </x:c>
      <x:c r="G18" s="62" t="str">
        <x:v>Product and finance</x:v>
      </x:c>
      <x:c r="H18" s="62" t="str">
        <x:v>Unproven</x:v>
      </x:c>
    </x:row>
    <x:row r="19" ht="20" customHeight="1">
      <x:c r="A19" s="50"/>
      <x:c r="B19" s="50"/>
      <x:c r="C19" s="50"/>
      <x:c r="D19" s="50"/>
      <x:c r="E19" s="50"/>
      <x:c r="F19" s="50"/>
      <x:c r="G19" s="50"/>
      <x:c r="H19" s="50"/>
    </x:row>
    <x:row r="20" ht="20" customHeight="1">
      <x:c r="A20" s="50"/>
      <x:c r="B20" s="50"/>
      <x:c r="C20" s="50"/>
      <x:c r="D20" s="50"/>
      <x:c r="E20" s="50"/>
      <x:c r="F20" s="50"/>
      <x:c r="G20" s="50"/>
      <x:c r="H20" s="50"/>
    </x:row>
    <x:row r="21" ht="20" customHeight="1">
      <x:c r="A21" s="63" t="str">
        <x:v>Evidence rule and source traceability</x:v>
      </x:c>
      <x:c r="B21" s="64"/>
      <x:c r="C21" s="64"/>
      <x:c r="D21" s="64"/>
      <x:c r="E21" s="64"/>
      <x:c r="F21" s="64"/>
      <x:c r="G21" s="64"/>
      <x:c r="H21" s="65"/>
    </x:row>
    <x:row r="22" ht="23" customHeight="1">
      <x:c r="A22" s="42" t="str">
        <x:v>The workbook contains 91 public claim-level evidence records linked to 56 unique sources within a 65-source register; nine registered sources are not referenced by an Evidence row. Four anonymized interviews are maintained separately in the interview tracker and notes. Public and interview evidence are not combined. The interviews strengthen a mid-market, assist-first context-and-handoff hypothesis and add direct approval-path evidence, but they do not validate the economic buyer, willingness to pay, pilot demand, separate-layer preference or market prevalence.</x:v>
      </x:c>
      <x:c r="B22" s="38"/>
      <x:c r="C22" s="38"/>
      <x:c r="D22" s="38"/>
      <x:c r="E22" s="38"/>
      <x:c r="F22" s="38"/>
      <x:c r="G22" s="38"/>
      <x:c r="H22" s="43"/>
    </x:row>
    <x:row r="23" ht="23" customHeight="1">
      <x:c r="A23" s="42"/>
      <x:c r="B23" s="38"/>
      <x:c r="C23" s="38"/>
      <x:c r="D23" s="38"/>
      <x:c r="E23" s="38"/>
      <x:c r="F23" s="38"/>
      <x:c r="G23" s="38"/>
      <x:c r="H23" s="43"/>
    </x:row>
    <x:row r="24" ht="23" customHeight="1">
      <x:c r="A24" s="44"/>
      <x:c r="B24" s="45"/>
      <x:c r="C24" s="45"/>
      <x:c r="D24" s="45"/>
      <x:c r="E24" s="45"/>
      <x:c r="F24" s="45"/>
      <x:c r="G24" s="45"/>
      <x:c r="H24" s="46"/>
    </x:row>
  </x:sheetData>
  <x:mergeCells>
    <x:mergeCell ref="A2:H2"/>
    <x:mergeCell ref="D5:H5"/>
    <x:mergeCell ref="D6:H8"/>
    <x:mergeCell ref="A21:H21"/>
    <x:mergeCell ref="A22:H24"/>
  </x:mergeCells>
  <x:conditionalFormatting sqref="H12:H18">
    <x:cfRule type="containsText" dxfId="0" priority="1" operator="containsText" text="Unproven"/>
    <x:cfRule type="containsText" dxfId="1" priority="2" operator="containsText" text="Rejected"/>
    <x:cfRule type="containsText" dxfId="2" priority="3" operator="containsText" text="Supported"/>
  </x:conditionalFormatting>
  <x:pageMargins left="0.7" right="0.7" top="0.75" bottom="0.75" header="0.3" footer="0.3"/>
</x:worksheet>
</file>

<file path=xl/worksheets/sheet2.xml><?xml version="1.0" encoding="utf-8"?>
<x:worksheet xmlns:x="http://schemas.openxmlformats.org/spreadsheetml/2006/main">
  <x:sheetPr>
    <x:tabColor rgb="FF2F6690"/>
  </x:sheetPr>
  <x:sheetViews>
    <x:sheetView showGridLines="0" workbookViewId="0">
      <x:pane ySplit="1" topLeftCell="A2" activePane="bottomLeft" state="frozen"/>
    </x:sheetView>
  </x:sheetViews>
  <x:sheetFormatPr defaultRowHeight="15"/>
  <x:cols>
    <x:col min="1" max="1" width="31" hidden="0" customWidth="1"/>
    <x:col min="2" max="2" width="40" hidden="0" customWidth="1"/>
    <x:col min="3" max="3" width="34" hidden="0" customWidth="1"/>
    <x:col min="4" max="4" width="38" hidden="0" customWidth="1"/>
    <x:col min="5" max="5" width="38" hidden="0" customWidth="1"/>
    <x:col min="6" max="6" width="20" hidden="0" customWidth="1"/>
  </x:cols>
  <x:sheetData>
    <x:row r="1">
      <x:c r="A1" s="86" t="str">
        <x:v>Hypothesis</x:v>
      </x:c>
      <x:c r="B1" s="86" t="str">
        <x:v>What public evidence supports</x:v>
      </x:c>
      <x:c r="C1" s="86" t="str">
        <x:v>What it does not prove</x:v>
      </x:c>
      <x:c r="D1" s="86" t="str">
        <x:v>Interview test</x:v>
      </x:c>
      <x:c r="E1" s="86" t="str">
        <x:v>Decision rule</x:v>
      </x:c>
      <x:c r="F1" s="86" t="str">
        <x:v>Status</x:v>
      </x:c>
    </x:row>
    <x:row r="2" ht="62" customHeight="1">
      <x:c r="A2" s="83" t="str">
        <x:v>Support-led B2B technology and services is the first segment</x:v>
      </x:c>
      <x:c r="B2" s="83" t="str">
        <x:v>Review metadata shows use across information and professional-services firms with established support stacks</x:v>
      </x:c>
      <x:c r="C2" s="83" t="str">
        <x:v>Highest pain budget or readiness</x:v>
      </x:c>
      <x:c r="D2" s="83" t="str">
        <x:v>Compare recent cross-system cases across segments</x:v>
      </x:c>
      <x:c r="E2" s="83" t="str">
        <x:v>Select only if repeated urgent cases and pilot access appear</x:v>
      </x:c>
      <x:c r="F2" s="83" t="str">
        <x:v>Partially supported</x:v>
      </x:c>
    </x:row>
    <x:row r="3" ht="62" customHeight="1">
      <x:c r="A3" s="83" t="str">
        <x:v>Cross-system workflow execution is the core problem</x:v>
      </x:c>
      <x:c r="B3" s="83" t="str">
        <x:v>Reviews and surveys report fragmented context and integration burden</x:v>
      </x:c>
      <x:c r="C3" s="83" t="str">
        <x:v>One workflow is frequent and valuable enough</x:v>
      </x:c>
      <x:c r="D3" s="83" t="str">
        <x:v>Trace the last case from intake to resolution</x:v>
      </x:c>
      <x:c r="E3" s="83" t="str">
        <x:v>Choose the workflow with repeated cost and a safe first action</x:v>
      </x:c>
      <x:c r="F3" s="83" t="str">
        <x:v>Direction supported</x:v>
      </x:c>
    </x:row>
    <x:row r="4" ht="62" customHeight="1">
      <x:c r="A4" s="83" t="str">
        <x:v>Assist or shadow mode is the best entry</x:v>
      </x:c>
      <x:c r="B4" s="83" t="str">
        <x:v>Gartner prioritizes agent assist and research supports human oversight</x:v>
      </x:c>
      <x:c r="C4" s="83" t="str">
        <x:v>Buyers prefer assist to autonomy</x:v>
      </x:c>
      <x:c r="D4" s="83" t="str">
        <x:v>Test approval appetite and success measures</x:v>
      </x:c>
      <x:c r="E4" s="83" t="str">
        <x:v>Land with assist unless customers show safe autonomous demand</x:v>
      </x:c>
      <x:c r="F4" s="83" t="str">
        <x:v>Supported directionally</x:v>
      </x:c>
    </x:row>
    <x:row r="5" ht="62" customHeight="1">
      <x:c r="A5" s="83" t="str">
        <x:v>Vendor neutrality is a differentiator</x:v>
      </x:c>
      <x:c r="B5" s="83" t="str">
        <x:v>Heterogeneous stacks create possible need</x:v>
      </x:c>
      <x:c r="C5" s="83" t="str">
        <x:v>Incumbents already claim no-migration and external-system actions</x:v>
      </x:c>
      <x:c r="D5" s="83" t="str">
        <x:v>Ask why incumbent capability is insufficient</x:v>
      </x:c>
      <x:c r="E5" s="83" t="str">
        <x:v>Reject if the only benefit is supporting several vendors</x:v>
      </x:c>
      <x:c r="F5" s="83" t="str">
        <x:v>Weak alone</x:v>
      </x:c>
    </x:row>
    <x:row r="6" ht="62" customHeight="1">
      <x:c r="A6" s="83" t="str">
        <x:v>Evaluation and governance can create a moat</x:v>
      </x:c>
      <x:c r="B6" s="83" t="str">
        <x:v>Production research shows workflow-level evaluation matters</x:v>
      </x:c>
      <x:c r="C6" s="83" t="str">
        <x:v>Customers will pay separately or data compounds defensibly</x:v>
      </x:c>
      <x:c r="D6" s="83" t="str">
        <x:v>Test who owns quality operations and current effort</x:v>
      </x:c>
      <x:c r="E6" s="83" t="str">
        <x:v>Invest only if it shortens deployment or reduces operating work</x:v>
      </x:c>
      <x:c r="F6" s="83" t="str">
        <x:v>Unproven</x:v>
      </x:c>
    </x:row>
    <x:row r="7" ht="62" customHeight="1">
      <x:c r="A7" s="83" t="str">
        <x:v>Outcome pricing aligns with value</x:v>
      </x:c>
      <x:c r="B7" s="83" t="str">
        <x:v>Major vendors use outcome or consumption models</x:v>
      </x:c>
      <x:c r="C7" s="83" t="str">
        <x:v>Definition is trusted or cost is predictable</x:v>
      </x:c>
      <x:c r="D7" s="83" t="str">
        <x:v>Test billable event reopen window and budget caps</x:v>
      </x:c>
      <x:c r="E7" s="83" t="str">
        <x:v>Use only if verified-outcome economics beat alternatives</x:v>
      </x:c>
      <x:c r="F7" s="83" t="str">
        <x:v>Unproven</x:v>
      </x:c>
    </x:row>
    <x:row r="8" ht="62" customHeight="1">
      <x:c r="A8" s="83" t="str">
        <x:v>Support can expand into customer operations</x:v>
      </x:c>
      <x:c r="B8" s="83" t="str">
        <x:v>Vendor survey indicates support-led expansion interest</x:v>
      </x:c>
      <x:c r="C8" s="83" t="str">
        <x:v>Repeatable cross-team demand</x:v>
      </x:c>
      <x:c r="D8" s="83" t="str">
        <x:v>Test adjacent workflows and internal buyers</x:v>
      </x:c>
      <x:c r="E8" s="83" t="str">
        <x:v>Expand only after retention and workflow pull</x:v>
      </x:c>
      <x:c r="F8" s="83" t="str">
        <x:v>Long-term hypothesis</x:v>
      </x:c>
    </x:row>
    <x:row r="9" ht="62" customHeight="1">
      <x:c r="A9" s="88" t="str">
        <x:v>Data and knowledge readiness gates AI value</x:v>
      </x:c>
      <x:c r="B9" s="88" t="str">
        <x:v>Field studies surveys and reviews connect outcomes to adequate training examples fresh data and usable context</x:v>
      </x:c>
      <x:c r="C9" s="88" t="str">
        <x:v>The target segment has sufficient clean accessible data</x:v>
      </x:c>
      <x:c r="D9" s="88" t="str">
        <x:v>Inspect the data used in one recent workflow and identify missing stale or restricted fields</x:v>
      </x:c>
      <x:c r="E9" s="88" t="str">
        <x:v>Proceed only if a bounded pilot can access enough permissioned context</x:v>
      </x:c>
      <x:c r="F9" s="88" t="str">
        <x:v>Direction supported</x:v>
      </x:c>
    </x:row>
    <x:row r="10" ht="62" customHeight="1">
      <x:c r="A10" s="88" t="str">
        <x:v>Handoff and durable write-back are product requirements</x:v>
      </x:c>
      <x:c r="B10" s="88" t="str">
        <x:v>Field experiments reviews and community cases show harm when context or ownership is lost</x:v>
      </x:c>
      <x:c r="C10" s="88" t="str">
        <x:v>The target workflow has frequent measurable handoff failures</x:v>
      </x:c>
      <x:c r="D10" s="88" t="str">
        <x:v>Trace what the person receives after AI escalation and where the final outcome is recorded</x:v>
      </x:c>
      <x:c r="E10" s="88" t="str">
        <x:v>Require verified context transfer owner next action and system-of-record update</x:v>
      </x:c>
      <x:c r="F10" s="88" t="str">
        <x:v>Direction supported</x:v>
      </x:c>
    </x:row>
  </x:sheetData>
  <x:conditionalFormatting sqref="F2:F8">
    <x:cfRule type="containsText" dxfId="3" priority="1" operator="containsText" text="Unproven"/>
    <x:cfRule type="containsText" dxfId="4" priority="2" operator="containsText" text="Weak"/>
    <x:cfRule type="containsText" dxfId="5" priority="3" operator="containsText" text="supported"/>
  </x:conditionalFormatting>
  <x:pageMargins left="0.7" right="0.7" top="0.75" bottom="0.75" header="0.3" footer="0.3"/>
  <x:tableParts count="1">
    <x:tablePart xmlns:r="http://schemas.openxmlformats.org/officeDocument/2006/relationships" r:id="R6a2205c0d25a439d"/>
  </x:tableParts>
</x:worksheet>
</file>

<file path=xl/worksheets/sheet3.xml><?xml version="1.0" encoding="utf-8"?>
<x:worksheet xmlns:x="http://schemas.openxmlformats.org/spreadsheetml/2006/main">
  <x:sheetPr>
    <x:tabColor rgb="FF7B8794"/>
  </x:sheetPr>
  <x:sheetViews>
    <x:sheetView showGridLines="0" workbookViewId="0">
      <x:pane xSplit="2" ySplit="1" topLeftCell="C2" activePane="bottomRight" state="frozen"/>
    </x:sheetView>
  </x:sheetViews>
  <x:sheetFormatPr defaultRowHeight="15"/>
  <x:cols>
    <x:col min="1" max="1" width="10" hidden="0" customWidth="1"/>
    <x:col min="2" max="2" width="9" hidden="0" customWidth="1"/>
    <x:col min="3" max="3" width="26" hidden="0" customWidth="1"/>
    <x:col min="4" max="4" width="18" hidden="0" customWidth="1"/>
    <x:col min="5" max="5" width="22" hidden="0" customWidth="1"/>
    <x:col min="6" max="6" width="21" hidden="0" customWidth="1"/>
    <x:col min="7" max="7" width="24" hidden="0" customWidth="1"/>
    <x:col min="8" max="8" width="23" hidden="0" customWidth="1"/>
    <x:col min="9" max="9" width="19" hidden="0" customWidth="1"/>
    <x:col min="10" max="10" width="42" hidden="0" customWidth="1"/>
    <x:col min="11" max="11" width="42" hidden="0" customWidth="1"/>
    <x:col min="12" max="12" width="14" hidden="0" customWidth="1"/>
    <x:col min="13" max="13" width="35" hidden="0" customWidth="1"/>
    <x:col min="14" max="14" width="40" hidden="0" customWidth="1"/>
  </x:cols>
  <x:sheetData>
    <x:row r="1" ht="30" customHeight="1">
      <x:c r="A1" s="81" t="str">
        <x:v>evidence_id</x:v>
      </x:c>
      <x:c r="B1" s="81" t="str">
        <x:v>source_id</x:v>
      </x:c>
      <x:c r="C1" s="81" t="str">
        <x:v>source_title</x:v>
      </x:c>
      <x:c r="D1" s="81" t="str">
        <x:v>publisher</x:v>
      </x:c>
      <x:c r="E1" s="81" t="str">
        <x:v>evidence_type</x:v>
      </x:c>
      <x:c r="F1" s="81" t="str">
        <x:v>product_or_scope</x:v>
      </x:c>
      <x:c r="G1" s="81" t="str">
        <x:v>segment_or_sample</x:v>
      </x:c>
      <x:c r="H1" s="81" t="str">
        <x:v>role_or_population</x:v>
      </x:c>
      <x:c r="I1" s="81" t="str">
        <x:v>theme</x:v>
      </x:c>
      <x:c r="J1" s="81" t="str">
        <x:v>finding</x:v>
      </x:c>
      <x:c r="K1" s="81" t="str">
        <x:v>strategic_implication</x:v>
      </x:c>
      <x:c r="L1" s="81" t="str">
        <x:v>confidence</x:v>
      </x:c>
      <x:c r="M1" s="81" t="str">
        <x:v>limitation</x:v>
      </x:c>
      <x:c r="N1" s="81" t="str">
        <x:v>source_url</x:v>
      </x:c>
    </x:row>
    <x:row r="2" ht="58" customHeight="1">
      <x:c r="A2" s="75" t="str">
        <x:v>E01</x:v>
      </x:c>
      <x:c r="B2" s="75" t="str">
        <x:v>S02</x:v>
      </x:c>
      <x:c r="C2" s="75" t="str">
        <x:v>Self-Service and Live Chat Will Surpass Traditional Channels by 2027</x:v>
      </x:c>
      <x:c r="D2" s="75" t="str">
        <x:v>Gartner</x:v>
      </x:c>
      <x:c r="E2" s="75" t="str">
        <x:v>Independent survey</x:v>
      </x:c>
      <x:c r="F2" s="75" t="str">
        <x:v>Customer-service technology</x:v>
      </x:c>
      <x:c r="G2" s="75" t="str">
        <x:v>265 leaders</x:v>
      </x:c>
      <x:c r="H2" s="75" t="str">
        <x:v>Customer service and support leaders</x:v>
      </x:c>
      <x:c r="I2" s="75" t="str">
        <x:v>Adoption priority</x:v>
      </x:c>
      <x:c r="J2" s="75" t="str">
        <x:v>AI agents were outside the ten technologies leaders considered most valuable while self-service live chat knowledge management analytics and agent assist ranked more strongly.</x:v>
      </x:c>
      <x:c r="K2" s="75" t="str">
        <x:v>Do not make autonomous AI agents the entire strategy. Anchor the wedge in a proven support workflow and knowledge foundation.</x:v>
      </x:c>
      <x:c r="L2" s="75" t="str">
        <x:v>High</x:v>
      </x:c>
      <x:c r="M2" s="75" t="str">
        <x:v>Press-release summary; not segment-specific.</x:v>
      </x:c>
      <x:c r="N2" s="75" t="str">
        <x:v>https://www.gartner.com/en/newsroom/press-releases/2025-08-27-gartner-survey-finds-self-service-and-live-chat-will-surpass-traditional-channels-as-top-customer-service-technologies-by-2027</x:v>
      </x:c>
    </x:row>
    <x:row r="3" ht="58" customHeight="1">
      <x:c r="A3" s="75" t="str">
        <x:v>E02</x:v>
      </x:c>
      <x:c r="B3" s="75" t="str">
        <x:v>S02</x:v>
      </x:c>
      <x:c r="C3" s="75" t="str">
        <x:v>Self-Service and Live Chat Will Surpass Traditional Channels by 2027</x:v>
      </x:c>
      <x:c r="D3" s="75" t="str">
        <x:v>Gartner</x:v>
      </x:c>
      <x:c r="E3" s="75" t="str">
        <x:v>Independent forecast</x:v>
      </x:c>
      <x:c r="F3" s="75" t="str">
        <x:v>Agent assist</x:v>
      </x:c>
      <x:c r="G3" s="75" t="str">
        <x:v>Global forecast</x:v>
      </x:c>
      <x:c r="H3" s="75" t="str">
        <x:v>Customer-service organizations</x:v>
      </x:c>
      <x:c r="I3" s="75" t="str">
        <x:v>Adoption priority</x:v>
      </x:c>
      <x:c r="J3" s="75" t="str">
        <x:v>Gartner forecast that 73% of customer-service organizations would implement agent assist by end-2025.</x:v>
      </x:c>
      <x:c r="K3" s="75" t="str">
        <x:v>An assist-first or shadow-mode landing motion may be easier to adopt than fully autonomous resolution.</x:v>
      </x:c>
      <x:c r="L3" s="75" t="str">
        <x:v>Medium-high</x:v>
      </x:c>
      <x:c r="M3" s="75" t="str">
        <x:v>Forecast rather than observed deployment result.</x:v>
      </x:c>
      <x:c r="N3" s="75" t="str">
        <x:v>https://www.gartner.com/en/newsroom/press-releases/2025-08-27-gartner-survey-finds-self-service-and-live-chat-will-surpass-traditional-channels-as-top-customer-service-technologies-by-2027</x:v>
      </x:c>
    </x:row>
    <x:row r="4" ht="58" customHeight="1">
      <x:c r="A4" s="75" t="str">
        <x:v>E03</x:v>
      </x:c>
      <x:c r="B4" s="75" t="str">
        <x:v>S05</x:v>
      </x:c>
      <x:c r="C4" s="75" t="str">
        <x:v>2026 Customer Service Transformation Report</x:v>
      </x:c>
      <x:c r="D4" s="75" t="str">
        <x:v>Intercom</x:v>
      </x:c>
      <x:c r="E4" s="75" t="str">
        <x:v>Vendor survey</x:v>
      </x:c>
      <x:c r="F4" s="75" t="str">
        <x:v>AI customer service</x:v>
      </x:c>
      <x:c r="G4" s="75" t="str">
        <x:v>2470 support professionals</x:v>
      </x:c>
      <x:c r="H4" s="75" t="str">
        <x:v>Leaders managers and associates</x:v>
      </x:c>
      <x:c r="I4" s="75" t="str">
        <x:v>Adoption depth</x:v>
      </x:c>
      <x:c r="J4" s="75" t="str">
        <x:v>82% of surveyed senior leaders said their teams invested in AI during the prior year but only 10% of respondents reported mature deployment.</x:v>
      </x:c>
      <x:c r="K4" s="75" t="str">
        <x:v>The opportunity is operationalization and measurable reliability rather than basic AI access.</x:v>
      </x:c>
      <x:c r="L4" s="75" t="str">
        <x:v>Medium-high</x:v>
      </x:c>
      <x:c r="M4" s="75" t="str">
        <x:v>Vendor-sponsored survey.</x:v>
      </x:c>
      <x:c r="N4" s="75" t="str">
        <x:v>https://www.intercom.com/customer-transformation-report</x:v>
      </x:c>
    </x:row>
    <x:row r="5" ht="58" customHeight="1">
      <x:c r="A5" s="75" t="str">
        <x:v>E04</x:v>
      </x:c>
      <x:c r="B5" s="75" t="str">
        <x:v>S05</x:v>
      </x:c>
      <x:c r="C5" s="75" t="str">
        <x:v>2026 Customer Service Transformation Report</x:v>
      </x:c>
      <x:c r="D5" s="75" t="str">
        <x:v>Intercom</x:v>
      </x:c>
      <x:c r="E5" s="75" t="str">
        <x:v>Vendor survey</x:v>
      </x:c>
      <x:c r="F5" s="75" t="str">
        <x:v>AI customer service</x:v>
      </x:c>
      <x:c r="G5" s="75" t="str">
        <x:v>2470 support professionals</x:v>
      </x:c>
      <x:c r="H5" s="75" t="str">
        <x:v>Support teams</x:v>
      </x:c>
      <x:c r="I5" s="75" t="str">
        <x:v>Operations workload</x:v>
      </x:c>
      <x:c r="J5" s="75" t="str">
        <x:v>40% of teams reported agents spending more time training and optimizing AI systems.</x:v>
      </x:c>
      <x:c r="K5" s="75" t="str">
        <x:v>Ongoing evaluation knowledge operations and tuning are real work that the product must reduce or support.</x:v>
      </x:c>
      <x:c r="L5" s="75" t="str">
        <x:v>Medium</x:v>
      </x:c>
      <x:c r="M5" s="75" t="str">
        <x:v>Vendor-sponsored survey; wording is vendor interpretation.</x:v>
      </x:c>
      <x:c r="N5" s="75" t="str">
        <x:v>https://www.intercom.com/customer-transformation-report</x:v>
      </x:c>
    </x:row>
    <x:row r="6" ht="58" customHeight="1">
      <x:c r="A6" s="75" t="str">
        <x:v>E05</x:v>
      </x:c>
      <x:c r="B6" s="75" t="str">
        <x:v>S05</x:v>
      </x:c>
      <x:c r="C6" s="75" t="str">
        <x:v>2026 Customer Service Transformation Report</x:v>
      </x:c>
      <x:c r="D6" s="75" t="str">
        <x:v>Intercom</x:v>
      </x:c>
      <x:c r="E6" s="75" t="str">
        <x:v>Vendor survey</x:v>
      </x:c>
      <x:c r="F6" s="75" t="str">
        <x:v>AI beyond support</x:v>
      </x:c>
      <x:c r="G6" s="75" t="str">
        <x:v>2470 support professionals</x:v>
      </x:c>
      <x:c r="H6" s="75" t="str">
        <x:v>Organizations</x:v>
      </x:c>
      <x:c r="I6" s="75" t="str">
        <x:v>Expansion</x:v>
      </x:c>
      <x:c r="J6" s="75" t="str">
        <x:v>52% planned to scale AI beyond support in 2026 and nearly one-third said support teams were leading that expansion.</x:v>
      </x:c>
      <x:c r="K6" s="75" t="str">
        <x:v>Support can be a landing function but cross-department expansion should follow demonstrated support outcomes.</x:v>
      </x:c>
      <x:c r="L6" s="75" t="str">
        <x:v>Medium</x:v>
      </x:c>
      <x:c r="M6" s="75" t="str">
        <x:v>Intent is not realized expansion.</x:v>
      </x:c>
      <x:c r="N6" s="75" t="str">
        <x:v>https://www.intercom.com/customer-transformation-report</x:v>
      </x:c>
    </x:row>
    <x:row r="7" ht="58" customHeight="1">
      <x:c r="A7" s="75" t="str">
        <x:v>E06</x:v>
      </x:c>
      <x:c r="B7" s="75" t="str">
        <x:v>S06</x:v>
      </x:c>
      <x:c r="C7" s="75" t="str">
        <x:v>Seventh State of Service Report announcement</x:v>
      </x:c>
      <x:c r="D7" s="75" t="str">
        <x:v>Salesforce</x:v>
      </x:c>
      <x:c r="E7" s="75" t="str">
        <x:v>Vendor survey</x:v>
      </x:c>
      <x:c r="F7" s="75" t="str">
        <x:v>Customer service AI</x:v>
      </x:c>
      <x:c r="G7" s="75" t="str">
        <x:v>6500 respondents across 40 countries</x:v>
      </x:c>
      <x:c r="H7" s="75" t="str">
        <x:v>Service professionals and decision makers</x:v>
      </x:c>
      <x:c r="I7" s="75" t="str">
        <x:v>Usage growth</x:v>
      </x:c>
      <x:c r="J7" s="75" t="str">
        <x:v>Respondents estimated AI handled 30% of service cases in 2025 and projected 50% by 2027.</x:v>
      </x:c>
      <x:c r="K7" s="75" t="str">
        <x:v>The category is moving toward more automation but the estimate does not prove any entrant's opportunity.</x:v>
      </x:c>
      <x:c r="L7" s="75" t="str">
        <x:v>Medium-high</x:v>
      </x:c>
      <x:c r="M7" s="75" t="str">
        <x:v>Vendor-sponsored survey and respondent projection.</x:v>
      </x:c>
      <x:c r="N7" s="75" t="str">
        <x:v>https://www.salesforce.com/in/news/stories/state-of-service-report-announcement-2025/</x:v>
      </x:c>
    </x:row>
    <x:row r="8" ht="58" customHeight="1">
      <x:c r="A8" s="75" t="str">
        <x:v>E07</x:v>
      </x:c>
      <x:c r="B8" s="75" t="str">
        <x:v>S06</x:v>
      </x:c>
      <x:c r="C8" s="75" t="str">
        <x:v>Seventh State of Service Report announcement</x:v>
      </x:c>
      <x:c r="D8" s="75" t="str">
        <x:v>Salesforce</x:v>
      </x:c>
      <x:c r="E8" s="75" t="str">
        <x:v>Vendor survey</x:v>
      </x:c>
      <x:c r="F8" s="75" t="str">
        <x:v>Customer service AI</x:v>
      </x:c>
      <x:c r="G8" s="75" t="str">
        <x:v>6500 respondents across 40 countries</x:v>
      </x:c>
      <x:c r="H8" s="75" t="str">
        <x:v>Service leaders</x:v>
      </x:c>
      <x:c r="I8" s="75" t="str">
        <x:v>Trust and security</x:v>
      </x:c>
      <x:c r="J8" s="75" t="str">
        <x:v>51% of surveyed service leaders said security concerns had delayed or limited AI initiatives.</x:v>
      </x:c>
      <x:c r="K8" s="75" t="str">
        <x:v>Security review permissions auditability and data boundaries are product adoption requirements.</x:v>
      </x:c>
      <x:c r="L8" s="75" t="str">
        <x:v>Medium-high</x:v>
      </x:c>
      <x:c r="M8" s="75" t="str">
        <x:v>Vendor-sponsored survey.</x:v>
      </x:c>
      <x:c r="N8" s="75" t="str">
        <x:v>https://www.salesforce.com/in/news/stories/state-of-service-report-announcement-2025/</x:v>
      </x:c>
    </x:row>
    <x:row r="9" ht="58" customHeight="1">
      <x:c r="A9" s="75" t="str">
        <x:v>E08</x:v>
      </x:c>
      <x:c r="B9" s="75" t="str">
        <x:v>S07</x:v>
      </x:c>
      <x:c r="C9" s="75" t="str">
        <x:v>How and Where AI Is Showing ROI in Customer Support</x:v>
      </x:c>
      <x:c r="D9" s="75" t="str">
        <x:v>Freshworks</x:v>
      </x:c>
      <x:c r="E9" s="75" t="str">
        <x:v>Operational benchmark</x:v>
      </x:c>
      <x:c r="F9" s="75" t="str">
        <x:v>Freshworks customers</x:v>
      </x:c>
      <x:c r="G9" s="75" t="str">
        <x:v>19M tickets and 37M conversations</x:v>
      </x:c>
      <x:c r="H9" s="75" t="str">
        <x:v>Customer-support operations</x:v>
      </x:c>
      <x:c r="I9" s="75" t="str">
        <x:v>Usage frequency</x:v>
      </x:c>
      <x:c r="J9" s="75" t="str">
        <x:v>The benchmark covered tens of millions of support interactions across more than 25 industries.</x:v>
      </x:c>
      <x:c r="K9" s="75" t="str">
        <x:v>Support is a high-frequency workflow suitable for measurable pilots.</x:v>
      </x:c>
      <x:c r="L9" s="75" t="str">
        <x:v>Medium-high</x:v>
      </x:c>
      <x:c r="M9" s="75" t="str">
        <x:v>Only Freshworks customers; outcome causality is not established.</x:v>
      </x:c>
      <x:c r="N9" s="75" t="str">
        <x:v>https://www.freshworks.com/theworks/customer-experience/freshworks-customer-service-benchmark-report-2024/</x:v>
      </x:c>
    </x:row>
    <x:row r="10" ht="58" customHeight="1">
      <x:c r="A10" s="75" t="str">
        <x:v>E09</x:v>
      </x:c>
      <x:c r="B10" s="75" t="str">
        <x:v>S08</x:v>
      </x:c>
      <x:c r="C10" s="75" t="str">
        <x:v>How 5 Top Industries Are Redefining Customer Support</x:v>
      </x:c>
      <x:c r="D10" s="75" t="str">
        <x:v>Freshworks</x:v>
      </x:c>
      <x:c r="E10" s="75" t="str">
        <x:v>Operational benchmark</x:v>
      </x:c>
      <x:c r="F10" s="75" t="str">
        <x:v>Freshworks customers</x:v>
      </x:c>
      <x:c r="G10" s="75" t="str">
        <x:v>32000 companies; 1.2B tickets; 138M conversations</x:v>
      </x:c>
      <x:c r="H10" s="75" t="str">
        <x:v>Customer-support operations</x:v>
      </x:c>
      <x:c r="I10" s="75" t="str">
        <x:v>Category scale</x:v>
      </x:c>
      <x:c r="J10" s="75" t="str">
        <x:v>Freshworks reported very large ticket and conversation volumes across its customer base.</x:v>
      </x:c>
      <x:c r="K10" s="75" t="str">
        <x:v>Frequency is clear but this does not define an addressable market for a new product.</x:v>
      </x:c>
      <x:c r="L10" s="75" t="str">
        <x:v>Medium-high</x:v>
      </x:c>
      <x:c r="M10" s="75" t="str">
        <x:v>Vendor customer base and marketing summary.</x:v>
      </x:c>
      <x:c r="N10" s="75" t="str">
        <x:v>https://www.freshworks.com/theworks/customer-experience/ai-top-5-industries-redefining-customer-support/</x:v>
      </x:c>
    </x:row>
    <x:row r="11" ht="58" customHeight="1">
      <x:c r="A11" s="75" t="str">
        <x:v>E10</x:v>
      </x:c>
      <x:c r="B11" s="75" t="str">
        <x:v>S09</x:v>
      </x:c>
      <x:c r="C11" s="75" t="str">
        <x:v>The Mid-Market's $16 Billion Drain</x:v>
      </x:c>
      <x:c r="D11" s="75" t="str">
        <x:v>Freshworks</x:v>
      </x:c>
      <x:c r="E11" s="75" t="str">
        <x:v>Vendor-sponsored survey</x:v>
      </x:c>
      <x:c r="F11" s="75" t="str">
        <x:v>Mid-market AI operations</x:v>
      </x:c>
      <x:c r="G11" s="75" t="str">
        <x:v>12000+ IT decision makers in six countries</x:v>
      </x:c>
      <x:c r="H11" s="75" t="str">
        <x:v>Mid-market IT leaders</x:v>
      </x:c>
      <x:c r="I11" s="75" t="str">
        <x:v>Integration complexity</x:v>
      </x:c>
      <x:c r="J11" s="75" t="str">
        <x:v>27% cited system integration as a top barrier to scaling AI and 36% remained in pilots or had not deployed meaningfully.</x:v>
      </x:c>
      <x:c r="K11" s="75" t="str">
        <x:v>Integration and deployment friction are plausible mid-market problems to test.</x:v>
      </x:c>
      <x:c r="L11" s="75" t="str">
        <x:v>Medium</x:v>
      </x:c>
      <x:c r="M11" s="75" t="str">
        <x:v>Vendor-sponsored survey; full methodology not inspected.</x:v>
      </x:c>
      <x:c r="N11" s="75" t="str">
        <x:v>https://www.freshworks.com/theworks/employee-experience/cost-of-complexity-mid-market-blog/</x:v>
      </x:c>
    </x:row>
    <x:row r="12" ht="58" customHeight="1">
      <x:c r="A12" s="75" t="str">
        <x:v>E11</x:v>
      </x:c>
      <x:c r="B12" s="75" t="str">
        <x:v>S09</x:v>
      </x:c>
      <x:c r="C12" s="75" t="str">
        <x:v>The Mid-Market's $16 Billion Drain</x:v>
      </x:c>
      <x:c r="D12" s="75" t="str">
        <x:v>Freshworks</x:v>
      </x:c>
      <x:c r="E12" s="75" t="str">
        <x:v>Vendor-sponsored survey</x:v>
      </x:c>
      <x:c r="F12" s="75" t="str">
        <x:v>Mid-market AI operations</x:v>
      </x:c>
      <x:c r="G12" s="75" t="str">
        <x:v>12000+ IT decision makers in six countries</x:v>
      </x:c>
      <x:c r="H12" s="75" t="str">
        <x:v>Mid-market IT leaders</x:v>
      </x:c>
      <x:c r="I12" s="75" t="str">
        <x:v>Operating cost</x:v>
      </x:c>
      <x:c r="J12" s="75" t="str">
        <x:v>86% said managing AI complexity increased workload and 26% of AI-related time went to troubleshooting and firefighting.</x:v>
      </x:c>
      <x:c r="K12" s="75" t="str">
        <x:v>A product that adds another control plane must prove it reduces total operating work.</x:v>
      </x:c>
      <x:c r="L12" s="75" t="str">
        <x:v>Medium</x:v>
      </x:c>
      <x:c r="M12" s="75" t="str">
        <x:v>Vendor-sponsored survey and broad AI scope.</x:v>
      </x:c>
      <x:c r="N12" s="75" t="str">
        <x:v>https://www.freshworks.com/theworks/employee-experience/cost-of-complexity-mid-market-blog/</x:v>
      </x:c>
    </x:row>
    <x:row r="13" ht="58" customHeight="1">
      <x:c r="A13" s="75" t="str">
        <x:v>E12</x:v>
      </x:c>
      <x:c r="B13" s="75" t="str">
        <x:v>S11</x:v>
      </x:c>
      <x:c r="C13" s="75" t="str">
        <x:v>Building Customer Support AI Agents at 100M-User Scale</x:v>
      </x:c>
      <x:c r="D13" s="75" t="str">
        <x:v>Nubank authors via arXiv</x:v>
      </x:c>
      <x:c r="E13" s="75" t="str">
        <x:v>Production research</x:v>
      </x:c>
      <x:c r="F13" s="75" t="str">
        <x:v>Nubank support AI</x:v>
      </x:c>
      <x:c r="G13" s="75" t="str">
        <x:v>Five production deployments</x:v>
      </x:c>
      <x:c r="H13" s="75" t="str">
        <x:v>Large-scale financial-services support</x:v>
      </x:c>
      <x:c r="I13" s="75" t="str">
        <x:v>Evaluation</x:v>
      </x:c>
      <x:c r="J13" s="75" t="str">
        <x:v>Evaluation-driven development connected offline testing human review and online outcomes across production use cases.</x:v>
      </x:c>
      <x:c r="K13" s="75" t="str">
        <x:v>A workflow-specific evaluation system is a required capability and a possible learning advantage.</x:v>
      </x:c>
      <x:c r="L13" s="75" t="str">
        <x:v>High</x:v>
      </x:c>
      <x:c r="M13" s="75" t="str">
        <x:v>One enterprise and preprint.</x:v>
      </x:c>
      <x:c r="N13" s="75" t="str">
        <x:v>https://arxiv.org/abs/2606.08867</x:v>
      </x:c>
    </x:row>
    <x:row r="14" ht="58" customHeight="1">
      <x:c r="A14" s="75" t="str">
        <x:v>E13</x:v>
      </x:c>
      <x:c r="B14" s="75" t="str">
        <x:v>S11</x:v>
      </x:c>
      <x:c r="C14" s="75" t="str">
        <x:v>Building Customer Support AI Agents at 100M-User Scale</x:v>
      </x:c>
      <x:c r="D14" s="75" t="str">
        <x:v>Nubank authors via arXiv</x:v>
      </x:c>
      <x:c r="E14" s="75" t="str">
        <x:v>Production research</x:v>
      </x:c>
      <x:c r="F14" s="75" t="str">
        <x:v>Nubank card-delivery workflow</x:v>
      </x:c>
      <x:c r="G14" s="75" t="str">
        <x:v>Large-scale A/B test</x:v>
      </x:c>
      <x:c r="H14" s="75" t="str">
        <x:v>Customers using self-service</x:v>
      </x:c>
      <x:c r="I14" s="75" t="str">
        <x:v>Outcome proof</x:v>
      </x:c>
      <x:c r="J14" s="75" t="str">
        <x:v>The reported deployment improved transactional NPS by 37 percentage points and self-service rate by 29 percentage points over prior agent variants.</x:v>
      </x:c>
      <x:c r="K14" s="75" t="str">
        <x:v>Outcomes must be tested per workflow; broad chatbot-level claims are inadequate.</x:v>
      </x:c>
      <x:c r="L14" s="75" t="str">
        <x:v>High</x:v>
      </x:c>
      <x:c r="M14" s="75" t="str">
        <x:v>One workflow in one company; not transferable as a target.</x:v>
      </x:c>
      <x:c r="N14" s="75" t="str">
        <x:v>https://arxiv.org/abs/2606.08867</x:v>
      </x:c>
    </x:row>
    <x:row r="15" ht="58" customHeight="1">
      <x:c r="A15" s="75" t="str">
        <x:v>E14</x:v>
      </x:c>
      <x:c r="B15" s="75" t="str">
        <x:v>S12</x:v>
      </x:c>
      <x:c r="C15" s="75" t="str">
        <x:v>Agentic AI and Human-in-the-Loop Interventions</x:v>
      </x:c>
      <x:c r="D15" s="75" t="str">
        <x:v>Research authors via arXiv</x:v>
      </x:c>
      <x:c r="E15" s="75" t="str">
        <x:v>Randomized field experiment</x:v>
      </x:c>
      <x:c r="F15" s="75" t="str">
        <x:v>Alibaba customer service</x:v>
      </x:c>
      <x:c r="G15" s="75" t="str">
        <x:v>AI-eligible and AI-ineligible chats</x:v>
      </x:c>
      <x:c r="H15" s="75" t="str">
        <x:v>Service workers and customers</x:v>
      </x:c>
      <x:c r="I15" s="75" t="str">
        <x:v>Human handoff</x:v>
      </x:c>
      <x:c r="J15" s="75" t="str">
        <x:v>Human intervention preserved quality in technical escalations but was less effective for emotional escalations.</x:v>
      </x:c>
      <x:c r="K15" s="75" t="str">
        <x:v>Escalation design must distinguish technical failure from customer frustration and intervene early.</x:v>
      </x:c>
      <x:c r="L15" s="75" t="str">
        <x:v>High</x:v>
      </x:c>
      <x:c r="M15" s="75" t="str">
        <x:v>One platform and preprint.</x:v>
      </x:c>
      <x:c r="N15" s="75" t="str">
        <x:v>https://arxiv.org/abs/2605.14830</x:v>
      </x:c>
    </x:row>
    <x:row r="16" ht="58" customHeight="1">
      <x:c r="A16" s="75" t="str">
        <x:v>E15</x:v>
      </x:c>
      <x:c r="B16" s="75" t="str">
        <x:v>S13</x:v>
      </x:c>
      <x:c r="C16" s="75" t="str">
        <x:v>Intercom Pricing</x:v>
      </x:c>
      <x:c r="D16" s="75" t="str">
        <x:v>Intercom</x:v>
      </x:c>
      <x:c r="E16" s="75" t="str">
        <x:v>Official pricing</x:v>
      </x:c>
      <x:c r="F16" s="75" t="str">
        <x:v>Intercom Fin</x:v>
      </x:c>
      <x:c r="G16" s="75" t="str">
        <x:v>Public list pricing</x:v>
      </x:c>
      <x:c r="H16" s="75" t="str">
        <x:v>Prospective buyers</x:v>
      </x:c>
      <x:c r="I16" s="75" t="str">
        <x:v>Unit economics</x:v>
      </x:c>
      <x:c r="J16" s="75" t="str">
        <x:v>Fin was listed at USD 0.99 per outcome with seat and optional add-on pricing for the broader platform.</x:v>
      </x:c>
      <x:c r="K16" s="75" t="str">
        <x:v>Outcome pricing is easy to explain but needs cost limits and a verified outcome definition.</x:v>
      </x:c>
      <x:c r="L16" s="75" t="str">
        <x:v>High</x:v>
      </x:c>
      <x:c r="M16" s="75" t="str">
        <x:v>Pricing can change and contracted terms differ.</x:v>
      </x:c>
      <x:c r="N16" s="75" t="str">
        <x:v>https://www.intercom.com/pricing</x:v>
      </x:c>
    </x:row>
    <x:row r="17" ht="58" customHeight="1">
      <x:c r="A17" s="75" t="str">
        <x:v>E16</x:v>
      </x:c>
      <x:c r="B17" s="75" t="str">
        <x:v>S14</x:v>
      </x:c>
      <x:c r="C17" s="75" t="str">
        <x:v>Zendesk Pricing</x:v>
      </x:c>
      <x:c r="D17" s="75" t="str">
        <x:v>Zendesk</x:v>
      </x:c>
      <x:c r="E17" s="75" t="str">
        <x:v>Official pricing</x:v>
      </x:c>
      <x:c r="F17" s="75" t="str">
        <x:v>Zendesk</x:v>
      </x:c>
      <x:c r="G17" s="75" t="str">
        <x:v>Public list pricing</x:v>
      </x:c>
      <x:c r="H17" s="75" t="str">
        <x:v>Prospective buyers</x:v>
      </x:c>
      <x:c r="I17" s="75" t="str">
        <x:v>Unit economics</x:v>
      </x:c>
      <x:c r="J17" s="75" t="str">
        <x:v>Zendesk listed Copilot at USD 50 per agent per month paid yearly and automated-resolution pricing alongside suite plans.</x:v>
      </x:c>
      <x:c r="K17" s="75" t="str">
        <x:v>Buyers already face mixed seat and consumption economics; differentiation must be outcome and total-cost based.</x:v>
      </x:c>
      <x:c r="L17" s="75" t="str">
        <x:v>High</x:v>
      </x:c>
      <x:c r="M17" s="75" t="str">
        <x:v>Pricing can change and full automated-resolution rates may require sales contact.</x:v>
      </x:c>
      <x:c r="N17" s="75" t="str">
        <x:v>https://www.zendesk.com/pricing/</x:v>
      </x:c>
    </x:row>
    <x:row r="18" ht="58" customHeight="1">
      <x:c r="A18" s="75" t="str">
        <x:v>E17</x:v>
      </x:c>
      <x:c r="B18" s="75" t="str">
        <x:v>S15</x:v>
      </x:c>
      <x:c r="C18" s="75" t="str">
        <x:v>Freshdesk Pricing</x:v>
      </x:c>
      <x:c r="D18" s="75" t="str">
        <x:v>Freshworks</x:v>
      </x:c>
      <x:c r="E18" s="75" t="str">
        <x:v>Official pricing</x:v>
      </x:c>
      <x:c r="F18" s="75" t="str">
        <x:v>Freshdesk</x:v>
      </x:c>
      <x:c r="G18" s="75" t="str">
        <x:v>Public list pricing</x:v>
      </x:c>
      <x:c r="H18" s="75" t="str">
        <x:v>Prospective buyers</x:v>
      </x:c>
      <x:c r="I18" s="75" t="str">
        <x:v>Unit economics</x:v>
      </x:c>
      <x:c r="J18" s="75" t="str">
        <x:v>Freshdesk Growth started at USD 19 per agent per month annually with 500 AI Agent sessions included and extra sessions listed separately.</x:v>
      </x:c>
      <x:c r="K18" s="75" t="str">
        <x:v>Low entry price and included usage make a generic low-cost strategy difficult.</x:v>
      </x:c>
      <x:c r="L18" s="75" t="str">
        <x:v>High</x:v>
      </x:c>
      <x:c r="M18" s="75" t="str">
        <x:v>Pricing can change and plans differ by market.</x:v>
      </x:c>
      <x:c r="N18" s="75" t="str">
        <x:v>https://www.freshworks.com/freshdesk/pricing/</x:v>
      </x:c>
    </x:row>
    <x:row r="19" ht="58" customHeight="1">
      <x:c r="A19" s="75" t="str">
        <x:v>E18</x:v>
      </x:c>
      <x:c r="B19" s="75" t="str">
        <x:v>S16</x:v>
      </x:c>
      <x:c r="C19" s="75" t="str">
        <x:v>Agentforce Pricing</x:v>
      </x:c>
      <x:c r="D19" s="75" t="str">
        <x:v>Salesforce</x:v>
      </x:c>
      <x:c r="E19" s="75" t="str">
        <x:v>Official pricing</x:v>
      </x:c>
      <x:c r="F19" s="75" t="str">
        <x:v>Salesforce Agentforce</x:v>
      </x:c>
      <x:c r="G19" s="75" t="str">
        <x:v>Public list pricing</x:v>
      </x:c>
      <x:c r="H19" s="75" t="str">
        <x:v>Enterprise buyers</x:v>
      </x:c>
      <x:c r="I19" s="75" t="str">
        <x:v>Unit economics</x:v>
      </x:c>
      <x:c r="J19" s="75" t="str">
        <x:v>Salesforce listed multiple buying models including USD 2 per conversation and Flex Credits.</x:v>
      </x:c>
      <x:c r="K19" s="75" t="str">
        <x:v>Large incumbents already support flexible consumption models and digital-wallet tracking.</x:v>
      </x:c>
      <x:c r="L19" s="75" t="str">
        <x:v>High</x:v>
      </x:c>
      <x:c r="M19" s="75" t="str">
        <x:v>Pricing can change; final cost depends on Salesforce stack.</x:v>
      </x:c>
      <x:c r="N19" s="75" t="str">
        <x:v>https://www.salesforce.com/agentforce/pricing/</x:v>
      </x:c>
    </x:row>
    <x:row r="20" ht="58" customHeight="1">
      <x:c r="A20" s="75" t="str">
        <x:v>E19</x:v>
      </x:c>
      <x:c r="B20" s="75" t="str">
        <x:v>S17</x:v>
      </x:c>
      <x:c r="C20" s="75" t="str">
        <x:v>Fin Procedures Explained</x:v>
      </x:c>
      <x:c r="D20" s="75" t="str">
        <x:v>Intercom</x:v>
      </x:c>
      <x:c r="E20" s="75" t="str">
        <x:v>Official product documentation</x:v>
      </x:c>
      <x:c r="F20" s="75" t="str">
        <x:v>Intercom Fin Procedures</x:v>
      </x:c>
      <x:c r="G20" s="75" t="str">
        <x:v>Current product</x:v>
      </x:c>
      <x:c r="H20" s="75" t="str">
        <x:v>Support operations</x:v>
      </x:c>
      <x:c r="I20" s="75" t="str">
        <x:v>Cross-system action</x:v>
      </x:c>
      <x:c r="J20" s="75" t="str">
        <x:v>Fin Procedures can apply rules call external systems use code perform sequential actions and hand off to humans.</x:v>
      </x:c>
      <x:c r="K20" s="75" t="str">
        <x:v>Cross-system action and governance cannot be claimed as unique whitespace.</x:v>
      </x:c>
      <x:c r="L20" s="75" t="str">
        <x:v>High</x:v>
      </x:c>
      <x:c r="M20" s="75" t="str">
        <x:v>Vendor documentation; production quality not independently verified.</x:v>
      </x:c>
      <x:c r="N20" s="75" t="str">
        <x:v>https://www.intercom.com/help/en/articles/12495167-fin-procedures-explained</x:v>
      </x:c>
    </x:row>
    <x:row r="21" ht="58" customHeight="1">
      <x:c r="A21" s="75" t="str">
        <x:v>E20</x:v>
      </x:c>
      <x:c r="B21" s="75" t="str">
        <x:v>S17</x:v>
      </x:c>
      <x:c r="C21" s="75" t="str">
        <x:v>Fin Procedures Explained</x:v>
      </x:c>
      <x:c r="D21" s="75" t="str">
        <x:v>Intercom</x:v>
      </x:c>
      <x:c r="E21" s="75" t="str">
        <x:v>Official product limitation</x:v>
      </x:c>
      <x:c r="F21" s="75" t="str">
        <x:v>Intercom Fin Procedures</x:v>
      </x:c>
      <x:c r="G21" s="75" t="str">
        <x:v>Current product</x:v>
      </x:c>
      <x:c r="H21" s="75" t="str">
        <x:v>Support operations</x:v>
      </x:c>
      <x:c r="I21" s="75" t="str">
        <x:v>Orchestration limitation</x:v>
      </x:c>
      <x:c r="J21" s="75" t="str">
        <x:v>Documented procedures execute steps sequentially and do not run multiple system queries in parallel without external middleware.</x:v>
      </x:c>
      <x:c r="K21" s="75" t="str">
        <x:v>Complex workflows that need parallel context assembly may still require orchestration outside the helpdesk.</x:v>
      </x:c>
      <x:c r="L21" s="75" t="str">
        <x:v>High</x:v>
      </x:c>
      <x:c r="M21" s="75" t="str">
        <x:v>Product behavior may change.</x:v>
      </x:c>
      <x:c r="N21" s="75" t="str">
        <x:v>https://www.intercom.com/help/en/articles/12495167-fin-procedures-explained</x:v>
      </x:c>
    </x:row>
    <x:row r="22" ht="58" customHeight="1">
      <x:c r="A22" s="75" t="str">
        <x:v>E21</x:v>
      </x:c>
      <x:c r="B22" s="75" t="str">
        <x:v>S18</x:v>
      </x:c>
      <x:c r="C22" s="75" t="str">
        <x:v>AI Agents for Customer Service</x:v>
      </x:c>
      <x:c r="D22" s="75" t="str">
        <x:v>Zendesk</x:v>
      </x:c>
      <x:c r="E22" s="75" t="str">
        <x:v>Official product page</x:v>
      </x:c>
      <x:c r="F22" s="75" t="str">
        <x:v>Zendesk AI agents</x:v>
      </x:c>
      <x:c r="G22" s="75" t="str">
        <x:v>Current product</x:v>
      </x:c>
      <x:c r="H22" s="75" t="str">
        <x:v>Support operations</x:v>
      </x:c>
      <x:c r="I22" s="75" t="str">
        <x:v>Competitive capability</x:v>
      </x:c>
      <x:c r="J22" s="75" t="str">
        <x:v>Zendesk claims agents can take actions across systems handle multi-step requests use policies apply QA and run on existing service platforms.</x:v>
      </x:c>
      <x:c r="K22" s="75" t="str">
        <x:v>Vendor neutrality full resolution governance and no-migration positioning are already claimed by an incumbent.</x:v>
      </x:c>
      <x:c r="L22" s="75" t="str">
        <x:v>High</x:v>
      </x:c>
      <x:c r="M22" s="75" t="str">
        <x:v>Vendor claim; buyer experience not established.</x:v>
      </x:c>
      <x:c r="N22" s="75" t="str">
        <x:v>https://www.zendesk.com/service/ai/ai-agents/</x:v>
      </x:c>
    </x:row>
    <x:row r="23" ht="58" customHeight="1">
      <x:c r="A23" s="75" t="str">
        <x:v>E22</x:v>
      </x:c>
      <x:c r="B23" s="75" t="str">
        <x:v>S19</x:v>
      </x:c>
      <x:c r="C23" s="75" t="str">
        <x:v>Freshdesk Integrations</x:v>
      </x:c>
      <x:c r="D23" s="75" t="str">
        <x:v>Freshworks</x:v>
      </x:c>
      <x:c r="E23" s="75" t="str">
        <x:v>Official product page</x:v>
      </x:c>
      <x:c r="F23" s="75" t="str">
        <x:v>Freshdesk integrations</x:v>
      </x:c>
      <x:c r="G23" s="75" t="str">
        <x:v>1000+ claimed apps</x:v>
      </x:c>
      <x:c r="H23" s="75" t="str">
        <x:v>Support operations</x:v>
      </x:c>
      <x:c r="I23" s="75" t="str">
        <x:v>Competitive capability</x:v>
      </x:c>
      <x:c r="J23" s="75" t="str">
        <x:v>Freshworks claims more than 1000 marketplace integrations plus APIs low-code tooling and templates.</x:v>
      </x:c>
      <x:c r="K23" s="75" t="str">
        <x:v>Connector count alone is not a moat; depth reliability and time-to-value matter.</x:v>
      </x:c>
      <x:c r="L23" s="75" t="str">
        <x:v>High</x:v>
      </x:c>
      <x:c r="M23" s="75" t="str">
        <x:v>Vendor claim; connector quality not compared.</x:v>
      </x:c>
      <x:c r="N23" s="75" t="str">
        <x:v>https://www.freshworks.com/freshdesk/integrations/</x:v>
      </x:c>
    </x:row>
    <x:row r="24" ht="58" customHeight="1">
      <x:c r="A24" s="75" t="str">
        <x:v>E23</x:v>
      </x:c>
      <x:c r="B24" s="75" t="str">
        <x:v>S20</x:v>
      </x:c>
      <x:c r="C24" s="75" t="str">
        <x:v>Empower Agents with Data Cloud and AI Guardrails</x:v>
      </x:c>
      <x:c r="D24" s="75" t="str">
        <x:v>Salesforce Trailhead</x:v>
      </x:c>
      <x:c r="E24" s="75" t="str">
        <x:v>Official documentation</x:v>
      </x:c>
      <x:c r="F24" s="75" t="str">
        <x:v>Salesforce Agentforce</x:v>
      </x:c>
      <x:c r="G24" s="75" t="str">
        <x:v>Current product</x:v>
      </x:c>
      <x:c r="H24" s="75" t="str">
        <x:v>Enterprise operations</x:v>
      </x:c>
      <x:c r="I24" s="75" t="str">
        <x:v>Governance</x:v>
      </x:c>
      <x:c r="J24" s="75" t="str">
        <x:v>Salesforce documents grounding privacy controls toxicity checks data masking audit trails and feedback capture.</x:v>
      </x:c>
      <x:c r="K24" s="75" t="str">
        <x:v>Governance and audit are table stakes in enterprise positioning.</x:v>
      </x:c>
      <x:c r="L24" s="75" t="str">
        <x:v>High</x:v>
      </x:c>
      <x:c r="M24" s="75" t="str">
        <x:v>Vendor documentation; implementation burden not measured.</x:v>
      </x:c>
      <x:c r="N24" s="75" t="str">
        <x:v>https://trailhead.salesforce.com/content/learn/modules/data-cloud-powered-agentforce/enable-trusted-agents-with-data-cloud</x:v>
      </x:c>
    </x:row>
    <x:row r="25" ht="58" customHeight="1">
      <x:c r="A25" s="75" t="str">
        <x:v>E24</x:v>
      </x:c>
      <x:c r="B25" s="75" t="str">
        <x:v>S22</x:v>
      </x:c>
      <x:c r="C25" s="75" t="str">
        <x:v>Agentforce Service Reviews</x:v>
      </x:c>
      <x:c r="D25" s="75" t="str">
        <x:v>G2</x:v>
      </x:c>
      <x:c r="E25" s="75" t="str">
        <x:v>Review aggregate</x:v>
      </x:c>
      <x:c r="F25" s="75" t="str">
        <x:v>Agentforce Service</x:v>
      </x:c>
      <x:c r="G25" s="75" t="str">
        <x:v>7284 G2 reviews</x:v>
      </x:c>
      <x:c r="H25" s="75" t="str">
        <x:v>Mixed roles and company sizes</x:v>
      </x:c>
      <x:c r="I25" s="75" t="str">
        <x:v>Strength</x:v>
      </x:c>
      <x:c r="J25" s="75" t="str">
        <x:v>G2 themes emphasized centralized context case management automation and efficiency.</x:v>
      </x:c>
      <x:c r="K25" s="75" t="str">
        <x:v>Incumbent strength is unified CRM context and operating depth.</x:v>
      </x:c>
      <x:c r="L25" s="75" t="str">
        <x:v>Medium-high</x:v>
      </x:c>
      <x:c r="M25" s="75" t="str">
        <x:v>AI-generated review summary; commercial review platform.</x:v>
      </x:c>
      <x:c r="N25" s="75" t="str">
        <x:v>https://www.g2.com/products/agentforce-service-formerly-salesforce-service-cloud/reviews</x:v>
      </x:c>
    </x:row>
    <x:row r="26" ht="58" customHeight="1">
      <x:c r="A26" s="75" t="str">
        <x:v>E25</x:v>
      </x:c>
      <x:c r="B26" s="75" t="str">
        <x:v>S22</x:v>
      </x:c>
      <x:c r="C26" s="75" t="str">
        <x:v>Agentforce Service Reviews</x:v>
      </x:c>
      <x:c r="D26" s="75" t="str">
        <x:v>G2</x:v>
      </x:c>
      <x:c r="E26" s="75" t="str">
        <x:v>Review aggregate</x:v>
      </x:c>
      <x:c r="F26" s="75" t="str">
        <x:v>Agentforce Service</x:v>
      </x:c>
      <x:c r="G26" s="75" t="str">
        <x:v>7284 G2 reviews</x:v>
      </x:c>
      <x:c r="H26" s="75" t="str">
        <x:v>Mixed roles and company sizes</x:v>
      </x:c>
      <x:c r="I26" s="75" t="str">
        <x:v>Adoption friction</x:v>
      </x:c>
      <x:c r="J26" s="75" t="str">
        <x:v>G2 themes included configuration complexity learning curve expense and missing features among common drawbacks.</x:v>
      </x:c>
      <x:c r="K26" s="75" t="str">
        <x:v>A simpler deployment can be attractive if it avoids duplicating incumbent functionality.</x:v>
      </x:c>
      <x:c r="L26" s="75" t="str">
        <x:v>Medium-high</x:v>
      </x:c>
      <x:c r="M26" s="75" t="str">
        <x:v>AI-generated review summary; mentions are not independent market shares.</x:v>
      </x:c>
      <x:c r="N26" s="75" t="str">
        <x:v>https://www.g2.com/products/agentforce-service-formerly-salesforce-service-cloud/reviews</x:v>
      </x:c>
    </x:row>
    <x:row r="27" ht="58" customHeight="1">
      <x:c r="A27" s="75" t="str">
        <x:v>E26</x:v>
      </x:c>
      <x:c r="B27" s="75" t="str">
        <x:v>S23</x:v>
      </x:c>
      <x:c r="C27" s="75" t="str">
        <x:v>Freshdesk Reviews</x:v>
      </x:c>
      <x:c r="D27" s="75" t="str">
        <x:v>G2</x:v>
      </x:c>
      <x:c r="E27" s="75" t="str">
        <x:v>Review aggregate</x:v>
      </x:c>
      <x:c r="F27" s="75" t="str">
        <x:v>Freshdesk</x:v>
      </x:c>
      <x:c r="G27" s="75" t="str">
        <x:v>3733 G2 reviews</x:v>
      </x:c>
      <x:c r="H27" s="75" t="str">
        <x:v>Mixed roles and company sizes</x:v>
      </x:c>
      <x:c r="I27" s="75" t="str">
        <x:v>Strength</x:v>
      </x:c>
      <x:c r="J27" s="75" t="str">
        <x:v>G2 reviewers commonly praised ease of use automation centralized communications and ticket management.</x:v>
      </x:c>
      <x:c r="K27" s="75" t="str">
        <x:v>Ease and core ticketing are strong incumbent advantages.</x:v>
      </x:c>
      <x:c r="L27" s="75" t="str">
        <x:v>Medium-high</x:v>
      </x:c>
      <x:c r="M27" s="75" t="str">
        <x:v>AI-generated review summary.</x:v>
      </x:c>
      <x:c r="N27" s="75" t="str">
        <x:v>https://www.g2.com/products/freshdesk/reviews</x:v>
      </x:c>
    </x:row>
    <x:row r="28" ht="58" customHeight="1">
      <x:c r="A28" s="75" t="str">
        <x:v>E27</x:v>
      </x:c>
      <x:c r="B28" s="75" t="str">
        <x:v>S23</x:v>
      </x:c>
      <x:c r="C28" s="75" t="str">
        <x:v>Freshdesk Reviews</x:v>
      </x:c>
      <x:c r="D28" s="75" t="str">
        <x:v>G2</x:v>
      </x:c>
      <x:c r="E28" s="75" t="str">
        <x:v>Review aggregate</x:v>
      </x:c>
      <x:c r="F28" s="75" t="str">
        <x:v>Freshdesk</x:v>
      </x:c>
      <x:c r="G28" s="75" t="str">
        <x:v>3733 G2 reviews</x:v>
      </x:c>
      <x:c r="H28" s="75" t="str">
        <x:v>Mixed roles and company sizes</x:v>
      </x:c>
      <x:c r="I28" s="75" t="str">
        <x:v>Adoption friction</x:v>
      </x:c>
      <x:c r="J28" s="75" t="str">
        <x:v>G2 summaries noted limitations in advanced customization and some lower-tier functionality.</x:v>
      </x:c>
      <x:c r="K28" s="75" t="str">
        <x:v>A workflow-specific layer may find gaps but must verify customers will add another vendor.</x:v>
      </x:c>
      <x:c r="L28" s="75" t="str">
        <x:v>Medium</x:v>
      </x:c>
      <x:c r="M28" s="75" t="str">
        <x:v>AI-generated review summary.</x:v>
      </x:c>
      <x:c r="N28" s="75" t="str">
        <x:v>https://www.g2.com/products/freshdesk/reviews</x:v>
      </x:c>
    </x:row>
    <x:row r="29" ht="58" customHeight="1">
      <x:c r="A29" s="75" t="str">
        <x:v>E28</x:v>
      </x:c>
      <x:c r="B29" s="75" t="str">
        <x:v>S26</x:v>
      </x:c>
      <x:c r="C29" s="75" t="str">
        <x:v>Zendesk Suite Reviews and Insights</x:v>
      </x:c>
      <x:c r="D29" s="75" t="str">
        <x:v>TrustRadius</x:v>
      </x:c>
      <x:c r="E29" s="75" t="str">
        <x:v>Verified-review synthesis</x:v>
      </x:c>
      <x:c r="F29" s="75" t="str">
        <x:v>Zendesk Suite</x:v>
      </x:c>
      <x:c r="G29" s="75" t="str">
        <x:v>19 recent verified reviews within 1087 ratings</x:v>
      </x:c>
      <x:c r="H29" s="75" t="str">
        <x:v>Customer-service administrators and managers</x:v>
      </x:c>
      <x:c r="I29" s="75" t="str">
        <x:v>Strength</x:v>
      </x:c>
      <x:c r="J29" s="75" t="str">
        <x:v>TrustRadius synthesis found channel consolidation automation ticket management and agent onboarding were recurring strengths.</x:v>
      </x:c>
      <x:c r="K29" s="75" t="str">
        <x:v>Replacing the helpdesk is an unnecessarily difficult entry strategy.</x:v>
      </x:c>
      <x:c r="L29" s="75" t="str">
        <x:v>Medium-high</x:v>
      </x:c>
      <x:c r="M29" s="75" t="str">
        <x:v>Small recent synthesis sample; incentives may apply.</x:v>
      </x:c>
      <x:c r="N29" s="75" t="str">
        <x:v>https://www.trustradius.com/products/zendesk-support-suite/reviews</x:v>
      </x:c>
    </x:row>
    <x:row r="30" ht="58" customHeight="1">
      <x:c r="A30" s="75" t="str">
        <x:v>E29</x:v>
      </x:c>
      <x:c r="B30" s="75" t="str">
        <x:v>S26</x:v>
      </x:c>
      <x:c r="C30" s="75" t="str">
        <x:v>Zendesk Suite Reviews and Insights</x:v>
      </x:c>
      <x:c r="D30" s="75" t="str">
        <x:v>TrustRadius</x:v>
      </x:c>
      <x:c r="E30" s="75" t="str">
        <x:v>Verified-review synthesis</x:v>
      </x:c>
      <x:c r="F30" s="75" t="str">
        <x:v>Zendesk Suite</x:v>
      </x:c>
      <x:c r="G30" s="75" t="str">
        <x:v>19 recent verified reviews within 1087 ratings</x:v>
      </x:c>
      <x:c r="H30" s="75" t="str">
        <x:v>Customer-service administrators and managers</x:v>
      </x:c>
      <x:c r="I30" s="75" t="str">
        <x:v>Adoption friction</x:v>
      </x:c>
      <x:c r="J30" s="75" t="str">
        <x:v>Reviewers reported limited AI capabilities complex reporting difficult integrations and trigger-management complexity.</x:v>
      </x:c>
      <x:c r="K30" s="75" t="str">
        <x:v>Potential wedge areas are AI quality integration maintenance and operations visibility.</x:v>
      </x:c>
      <x:c r="L30" s="75" t="str">
        <x:v>Medium-high</x:v>
      </x:c>
      <x:c r="M30" s="75" t="str">
        <x:v>Small recent synthesis sample; experiences vary by configuration.</x:v>
      </x:c>
      <x:c r="N30" s="75" t="str">
        <x:v>https://www.trustradius.com/products/zendesk-support-suite/reviews</x:v>
      </x:c>
    </x:row>
    <x:row r="31" ht="58" customHeight="1">
      <x:c r="A31" s="75" t="str">
        <x:v>E30</x:v>
      </x:c>
      <x:c r="B31" s="75" t="str">
        <x:v>S26</x:v>
      </x:c>
      <x:c r="C31" s="75" t="str">
        <x:v>Zendesk Suite Reviews and Insights</x:v>
      </x:c>
      <x:c r="D31" s="75" t="str">
        <x:v>TrustRadius</x:v>
      </x:c>
      <x:c r="E31" s="75" t="str">
        <x:v>Verified review</x:v>
      </x:c>
      <x:c r="F31" s="75" t="str">
        <x:v>Zendesk Suite</x:v>
      </x:c>
      <x:c r="G31" s="75" t="str">
        <x:v>51-200 employee company</x:v>
      </x:c>
      <x:c r="H31" s="75" t="str">
        <x:v>Technical support manager</x:v>
      </x:c>
      <x:c r="I31" s="75" t="str">
        <x:v>Switching cost</x:v>
      </x:c>
      <x:c r="J31" s="75" t="str">
        <x:v>A review described expensive third-party integrations breaking when functionality was deprecated.</x:v>
      </x:c>
      <x:c r="K31" s="75" t="str">
        <x:v>Integration durability versioning monitoring and rollback could create value.</x:v>
      </x:c>
      <x:c r="L31" s="75" t="str">
        <x:v>Medium</x:v>
      </x:c>
      <x:c r="M31" s="75" t="str">
        <x:v>One incentivized review.</x:v>
      </x:c>
      <x:c r="N31" s="75" t="str">
        <x:v>https://www.trustradius.com/products/zendesk-support-suite/reviews</x:v>
      </x:c>
    </x:row>
    <x:row r="32" ht="58" customHeight="1">
      <x:c r="A32" s="75" t="str">
        <x:v>E31</x:v>
      </x:c>
      <x:c r="B32" s="75" t="str">
        <x:v>S26</x:v>
      </x:c>
      <x:c r="C32" s="75" t="str">
        <x:v>Zendesk Suite Reviews and Insights</x:v>
      </x:c>
      <x:c r="D32" s="75" t="str">
        <x:v>TrustRadius</x:v>
      </x:c>
      <x:c r="E32" s="75" t="str">
        <x:v>Verified review</x:v>
      </x:c>
      <x:c r="F32" s="75" t="str">
        <x:v>Zendesk Suite</x:v>
      </x:c>
      <x:c r="G32" s="75" t="str">
        <x:v>201-500 employee company</x:v>
      </x:c>
      <x:c r="H32" s="75" t="str">
        <x:v>IT manager</x:v>
      </x:c>
      <x:c r="I32" s="75" t="str">
        <x:v>AI quality</x:v>
      </x:c>
      <x:c r="J32" s="75" t="str">
        <x:v>A review said AI autoresponse quality needed improvement while the core ticket UI and integrations worked well.</x:v>
      </x:c>
      <x:c r="K32" s="75" t="str">
        <x:v>The product should prove task quality on a bounded workflow rather than compete on ticketing.</x:v>
      </x:c>
      <x:c r="L32" s="75" t="str">
        <x:v>Medium</x:v>
      </x:c>
      <x:c r="M32" s="75" t="str">
        <x:v>One incentivized review.</x:v>
      </x:c>
      <x:c r="N32" s="75" t="str">
        <x:v>https://www.trustradius.com/products/zendesk-support-suite/reviews</x:v>
      </x:c>
    </x:row>
    <x:row r="33" ht="58" customHeight="1">
      <x:c r="A33" s="75" t="str">
        <x:v>E32</x:v>
      </x:c>
      <x:c r="B33" s="75" t="str">
        <x:v>S27</x:v>
      </x:c>
      <x:c r="C33" s="75" t="str">
        <x:v>Freshdesk Reviews and Insights</x:v>
      </x:c>
      <x:c r="D33" s="75" t="str">
        <x:v>TrustRadius</x:v>
      </x:c>
      <x:c r="E33" s="75" t="str">
        <x:v>Verified-review synthesis</x:v>
      </x:c>
      <x:c r="F33" s="75" t="str">
        <x:v>Freshdesk</x:v>
      </x:c>
      <x:c r="G33" s="75" t="str">
        <x:v>16 recent reviews within 652 ratings</x:v>
      </x:c>
      <x:c r="H33" s="75" t="str">
        <x:v>Mixed roles and company sizes</x:v>
      </x:c>
      <x:c r="I33" s="75" t="str">
        <x:v>Strength</x:v>
      </x:c>
      <x:c r="J33" s="75" t="str">
        <x:v>Reviewers emphasized centralized ticket tracking distribution automation and cost savings.</x:v>
      </x:c>
      <x:c r="K33" s="75" t="str">
        <x:v>The existing platform solves the basic workflow well.</x:v>
      </x:c>
      <x:c r="L33" s="75" t="str">
        <x:v>Medium-high</x:v>
      </x:c>
      <x:c r="M33" s="75" t="str">
        <x:v>Small recent synthesis sample.</x:v>
      </x:c>
      <x:c r="N33" s="75" t="str">
        <x:v>https://www.trustradius.com/products/freshdesk/reviews</x:v>
      </x:c>
    </x:row>
    <x:row r="34" ht="58" customHeight="1">
      <x:c r="A34" s="75" t="str">
        <x:v>E33</x:v>
      </x:c>
      <x:c r="B34" s="75" t="str">
        <x:v>S27</x:v>
      </x:c>
      <x:c r="C34" s="75" t="str">
        <x:v>Freshdesk Reviews and Insights</x:v>
      </x:c>
      <x:c r="D34" s="75" t="str">
        <x:v>TrustRadius</x:v>
      </x:c>
      <x:c r="E34" s="75" t="str">
        <x:v>Verified-review synthesis</x:v>
      </x:c>
      <x:c r="F34" s="75" t="str">
        <x:v>Freshdesk</x:v>
      </x:c>
      <x:c r="G34" s="75" t="str">
        <x:v>16 recent reviews within 652 ratings</x:v>
      </x:c>
      <x:c r="H34" s="75" t="str">
        <x:v>Mixed roles and company sizes</x:v>
      </x:c>
      <x:c r="I34" s="75" t="str">
        <x:v>Adoption friction</x:v>
      </x:c>
      <x:c r="J34" s="75" t="str">
        <x:v>Reviewers reported dated or complex UI clunky integrations limited advanced AI and weak reporting.</x:v>
      </x:c>
      <x:c r="K34" s="75" t="str">
        <x:v>A wedge could focus on cross-system context and measurable AI operations but requires interview validation.</x:v>
      </x:c>
      <x:c r="L34" s="75" t="str">
        <x:v>Medium-high</x:v>
      </x:c>
      <x:c r="M34" s="75" t="str">
        <x:v>Small recent synthesis sample.</x:v>
      </x:c>
      <x:c r="N34" s="75" t="str">
        <x:v>https://www.trustradius.com/products/freshdesk/reviews</x:v>
      </x:c>
    </x:row>
    <x:row r="35" ht="58" customHeight="1">
      <x:c r="A35" s="75" t="str">
        <x:v>E34</x:v>
      </x:c>
      <x:c r="B35" s="75" t="str">
        <x:v>S27</x:v>
      </x:c>
      <x:c r="C35" s="75" t="str">
        <x:v>Freshdesk Reviews and Insights</x:v>
      </x:c>
      <x:c r="D35" s="75" t="str">
        <x:v>TrustRadius</x:v>
      </x:c>
      <x:c r="E35" s="75" t="str">
        <x:v>Verified review</x:v>
      </x:c>
      <x:c r="F35" s="75" t="str">
        <x:v>Freshdesk</x:v>
      </x:c>
      <x:c r="G35" s="75" t="str">
        <x:v>51-200 employee company</x:v>
      </x:c>
      <x:c r="H35" s="75" t="str">
        <x:v>IT general manager</x:v>
      </x:c>
      <x:c r="I35" s="75" t="str">
        <x:v>Price and integration</x:v>
      </x:c>
      <x:c r="J35" s="75" t="str">
        <x:v>A reviewer cited AI paywalls high relative cost and clunky integrations while valuing day-to-day ticketing.</x:v>
      </x:c>
      <x:c r="K35" s="75" t="str">
        <x:v>Cost predictability and integration depth may matter more than another interface.</x:v>
      </x:c>
      <x:c r="L35" s="75" t="str">
        <x:v>Medium</x:v>
      </x:c>
      <x:c r="M35" s="75" t="str">
        <x:v>One incentivized review.</x:v>
      </x:c>
      <x:c r="N35" s="75" t="str">
        <x:v>https://www.trustradius.com/products/freshdesk/reviews</x:v>
      </x:c>
    </x:row>
    <x:row r="36" ht="58" customHeight="1">
      <x:c r="A36" s="75" t="str">
        <x:v>E35</x:v>
      </x:c>
      <x:c r="B36" s="75" t="str">
        <x:v>S25</x:v>
      </x:c>
      <x:c r="C36" s="75" t="str">
        <x:v>Fin Reviews and Ratings</x:v>
      </x:c>
      <x:c r="D36" s="75" t="str">
        <x:v>TrustRadius</x:v>
      </x:c>
      <x:c r="E36" s="75" t="str">
        <x:v>Verified-review aggregate</x:v>
      </x:c>
      <x:c r="F36" s="75" t="str">
        <x:v>Fin</x:v>
      </x:c>
      <x:c r="G36" s="75" t="str">
        <x:v>1057 reviews and ratings; information professional services and finance prominent</x:v>
      </x:c>
      <x:c r="H36" s="75" t="str">
        <x:v>Support and operations roles</x:v>
      </x:c>
      <x:c r="I36" s="75" t="str">
        <x:v>Segment signal</x:v>
      </x:c>
      <x:c r="J36" s="75" t="str">
        <x:v>TrustRadius metadata showed recurring use in information and professional-services firms and across 11-500 employee bands.</x:v>
      </x:c>
      <x:c r="K36" s="75" t="str">
        <x:v>Support-led B2B technology and services remains a plausible sampling segment.</x:v>
      </x:c>
      <x:c r="L36" s="75" t="str">
        <x:v>Medium</x:v>
      </x:c>
      <x:c r="M36" s="75" t="str">
        <x:v>Installation metadata is small and not a market-share estimate.</x:v>
      </x:c>
      <x:c r="N36" s="75" t="str">
        <x:v>https://www.trustradius.com/products/intercom/reviews</x:v>
      </x:c>
    </x:row>
    <x:row r="37" ht="58" customHeight="1">
      <x:c r="A37" s="75" t="str">
        <x:v>E36</x:v>
      </x:c>
      <x:c r="B37" s="75" t="str">
        <x:v>S25</x:v>
      </x:c>
      <x:c r="C37" s="75" t="str">
        <x:v>Fin Reviews and Ratings</x:v>
      </x:c>
      <x:c r="D37" s="75" t="str">
        <x:v>TrustRadius</x:v>
      </x:c>
      <x:c r="E37" s="75" t="str">
        <x:v>Verified review</x:v>
      </x:c>
      <x:c r="F37" s="75" t="str">
        <x:v>Fin</x:v>
      </x:c>
      <x:c r="G37" s="75" t="str">
        <x:v>Large technology company</x:v>
      </x:c>
      <x:c r="H37" s="75" t="str">
        <x:v>Technical-services manager</x:v>
      </x:c>
      <x:c r="I37" s="75" t="str">
        <x:v>Knowledge quality</x:v>
      </x:c>
      <x:c r="J37" s="75" t="str">
        <x:v>A reviewer valued fast responses and setup but reported that excessive content could increase hallucinations and tuning was not intuitive.</x:v>
      </x:c>
      <x:c r="K37" s="75" t="str">
        <x:v>Knowledge selection testing and change management are core operating needs.</x:v>
      </x:c>
      <x:c r="L37" s="75" t="str">
        <x:v>Medium</x:v>
      </x:c>
      <x:c r="M37" s="75" t="str">
        <x:v>One review; company context differs from target mid-market.</x:v>
      </x:c>
      <x:c r="N37" s="75" t="str">
        <x:v>https://www.trustradius.com/products/intercom/reviews</x:v>
      </x:c>
    </x:row>
    <x:row r="38" ht="58" customHeight="1">
      <x:c r="A38" s="75" t="str">
        <x:v>E37</x:v>
      </x:c>
      <x:c r="B38" s="75" t="str">
        <x:v>S29</x:v>
      </x:c>
      <x:c r="C38" s="75" t="str">
        <x:v>Fin Product Area</x:v>
      </x:c>
      <x:c r="D38" s="75" t="str">
        <x:v>Intercom Community</x:v>
      </x:c>
      <x:c r="E38" s="75" t="str">
        <x:v>Customer community anecdote</x:v>
      </x:c>
      <x:c r="F38" s="75" t="str">
        <x:v>Fin</x:v>
      </x:c>
      <x:c r="G38" s="75" t="str">
        <x:v>High-volume marketplace</x:v>
      </x:c>
      <x:c r="H38" s="75" t="str">
        <x:v>Unknown role</x:v>
      </x:c>
      <x:c r="I38" s="75" t="str">
        <x:v>Unit economics</x:v>
      </x:c>
      <x:c r="J38" s="75" t="str">
        <x:v>A public community post said the company stopped Fin after spending USD 12000 because per-outcome economics did not fit low-margin high-volume transactions.</x:v>
      </x:c>
      <x:c r="K38" s="75" t="str">
        <x:v>Pricing fit varies sharply by business model; predictable caps and workflow economics should be tested.</x:v>
      </x:c>
      <x:c r="L38" s="75" t="str">
        <x:v>Low-medium</x:v>
      </x:c>
      <x:c r="M38" s="75" t="str">
        <x:v>Single self-selected claim; financial details unverified.</x:v>
      </x:c>
      <x:c r="N38" s="75" t="str">
        <x:v>https://community.intercom.com/fin-89</x:v>
      </x:c>
    </x:row>
    <x:row r="39" ht="58" customHeight="1">
      <x:c r="A39" s="75" t="str">
        <x:v>E38</x:v>
      </x:c>
      <x:c r="B39" s="75" t="str">
        <x:v>S29</x:v>
      </x:c>
      <x:c r="C39" s="75" t="str">
        <x:v>Fin Product Area</x:v>
      </x:c>
      <x:c r="D39" s="75" t="str">
        <x:v>Intercom Community</x:v>
      </x:c>
      <x:c r="E39" s="75" t="str">
        <x:v>Customer community anecdote</x:v>
      </x:c>
      <x:c r="F39" s="75" t="str">
        <x:v>Fin</x:v>
      </x:c>
      <x:c r="G39" s="75" t="str">
        <x:v>Unknown company</x:v>
      </x:c>
      <x:c r="H39" s="75" t="str">
        <x:v>Support operator</x:v>
      </x:c>
      <x:c r="I39" s="75" t="str">
        <x:v>Handoff context</x:v>
      </x:c>
      <x:c r="J39" s="75" t="str">
        <x:v>A public post described an escalation flow that could ask for information already supplied earlier in the conversation.</x:v>
      </x:c>
      <x:c r="K39" s="75" t="str">
        <x:v>Context preservation across AI-to-human handoff is a concrete workflow-quality dimension.</x:v>
      </x:c>
      <x:c r="L39" s="75" t="str">
        <x:v>Low-medium</x:v>
      </x:c>
      <x:c r="M39" s="75" t="str">
        <x:v>Single self-selected example.</x:v>
      </x:c>
      <x:c r="N39" s="75" t="str">
        <x:v>https://community.intercom.com/fin-89</x:v>
      </x:c>
    </x:row>
    <x:row r="40" ht="58" customHeight="1">
      <x:c r="A40" s="75" t="str">
        <x:v>E39</x:v>
      </x:c>
      <x:c r="B40" s="75" t="str">
        <x:v>S30</x:v>
      </x:c>
      <x:c r="C40" s="75" t="str">
        <x:v>AI Agent Assistant Recommendation</x:v>
      </x:c>
      <x:c r="D40" s="75" t="str">
        <x:v>Reddit CustomerSuccess</x:v>
      </x:c>
      <x:c r="E40" s="75" t="str">
        <x:v>Anonymous anecdote</x:v>
      </x:c>
      <x:c r="F40" s="75" t="str">
        <x:v>Fin</x:v>
      </x:c>
      <x:c r="G40" s="75" t="str">
        <x:v>One-person customer-success team</x:v>
      </x:c>
      <x:c r="H40" s="75" t="str">
        <x:v>Customer-success operator</x:v>
      </x:c>
      <x:c r="I40" s="75" t="str">
        <x:v>Operational pain</x:v>
      </x:c>
      <x:c r="J40" s="75" t="str">
        <x:v>The poster described useful after-hours help but unpredictable cost weak learning from human follow-ups poor escalation behavior and weak knowledge-gap detection.</x:v>
      </x:c>
      <x:c r="K40" s="75" t="str">
        <x:v>Interview questions should test cost control correction loops escalation and knowledge-gap operations.</x:v>
      </x:c>
      <x:c r="L40" s="75" t="str">
        <x:v>Low</x:v>
      </x:c>
      <x:c r="M40" s="75" t="str">
        <x:v>Anonymous post and replies include vendor promotion.</x:v>
      </x:c>
      <x:c r="N40" s="75" t="str">
        <x:v>https://www.reddit.com/r/CustomerSuccess/comments/1uchs8l/ai_agent_assistant_recommendation/</x:v>
      </x:c>
    </x:row>
    <x:row r="41" ht="58" customHeight="1">
      <x:c r="A41" s="75" t="str">
        <x:v>E40</x:v>
      </x:c>
      <x:c r="B41" s="75" t="str">
        <x:v>S31</x:v>
      </x:c>
      <x:c r="C41" s="75" t="str">
        <x:v>Looking for a Zendesk-Compatible AI Chatbot</x:v>
      </x:c>
      <x:c r="D41" s="75" t="str">
        <x:v>Reddit Zendesk</x:v>
      </x:c>
      <x:c r="E41" s="75" t="str">
        <x:v>Anonymous anecdote</x:v>
      </x:c>
      <x:c r="F41" s="75" t="str">
        <x:v>Zendesk AI</x:v>
      </x:c>
      <x:c r="G41" s="75" t="str">
        <x:v>90 enterprise licenses</x:v>
      </x:c>
      <x:c r="H41" s="75" t="str">
        <x:v>Zendesk customer</x:v>
      </x:c>
      <x:c r="I41" s="75" t="str">
        <x:v>Unit economics</x:v>
      </x:c>
      <x:c r="J41" s="75" t="str">
        <x:v>The poster claimed more than 40% of an annual automated-resolution allowance was consumed in 30 days after volume increased.</x:v>
      </x:c>
      <x:c r="K41" s="75" t="str">
        <x:v>Usage spikes can undermine annual budgeting even when automation works.</x:v>
      </x:c>
      <x:c r="L41" s="75" t="str">
        <x:v>Low</x:v>
      </x:c>
      <x:c r="M41" s="75" t="str">
        <x:v>Anonymous unverified claim.</x:v>
      </x:c>
      <x:c r="N41" s="75" t="str">
        <x:v>https://www.reddit.com/r/Zendesk/comments/1vnak9c/looking_for_a_zd_compatible_ai_chat_bot/</x:v>
      </x:c>
    </x:row>
    <x:row r="42" ht="58" customHeight="1">
      <x:c r="A42" s="75" t="str">
        <x:v>E41</x:v>
      </x:c>
      <x:c r="B42" s="75" t="str">
        <x:v>S32</x:v>
      </x:c>
      <x:c r="C42" s="75" t="str">
        <x:v>Cost-Effective AI Agent for Zendesk Support Tickets</x:v>
      </x:c>
      <x:c r="D42" s="75" t="str">
        <x:v>Reddit Zendesk</x:v>
      </x:c>
      <x:c r="E42" s="75" t="str">
        <x:v>Anonymous anecdote</x:v>
      </x:c>
      <x:c r="F42" s="75" t="str">
        <x:v>Zendesk AI and alternatives</x:v>
      </x:c>
      <x:c r="G42" s="75" t="str">
        <x:v>20000 tickets per month claimed</x:v>
      </x:c>
      <x:c r="H42" s="75" t="str">
        <x:v>Support operator</x:v>
      </x:c>
      <x:c r="I42" s="75" t="str">
        <x:v>Build versus buy</x:v>
      </x:c>
      <x:c r="J42" s="75" t="str">
        <x:v>Discussion distinguished low model inference cost from the harder action integration evaluation and guardrail work.</x:v>
      </x:c>
      <x:c r="K42" s="75" t="str">
        <x:v>The product must sell reduced operating burden not access to a model.</x:v>
      </x:c>
      <x:c r="L42" s="75" t="str">
        <x:v>Low</x:v>
      </x:c>
      <x:c r="M42" s="75" t="str">
        <x:v>Anonymous discussion with multiple vendors promoting products.</x:v>
      </x:c>
      <x:c r="N42" s="75" t="str">
        <x:v>https://www.reddit.com/r/Zendesk/comments/1t4g4xt/is_there_a_costeffective_ai_agent_for_zendesk/</x:v>
      </x:c>
    </x:row>
    <x:row r="43" ht="58" customHeight="1">
      <x:c r="A43" s="75" t="str">
        <x:v>E42</x:v>
      </x:c>
      <x:c r="B43" s="75" t="str">
        <x:v>S33</x:v>
      </x:c>
      <x:c r="C43" s="75" t="str">
        <x:v>Contact Center Software Market Report</x:v>
      </x:c>
      <x:c r="D43" s="75" t="str">
        <x:v>Fortune Business Insights</x:v>
      </x:c>
      <x:c r="E43" s="75" t="str">
        <x:v>Commercial market estimate</x:v>
      </x:c>
      <x:c r="F43" s="75" t="str">
        <x:v>Contact-center software</x:v>
      </x:c>
      <x:c r="G43" s="75" t="str">
        <x:v>Global market</x:v>
      </x:c>
      <x:c r="H43" s="75" t="str">
        <x:v>Analyst estimate</x:v>
      </x:c>
      <x:c r="I43" s="75" t="str">
        <x:v>Market size</x:v>
      </x:c>
      <x:c r="J43" s="75" t="str">
        <x:v>Fortune Business Insights estimated the 2025 market at USD 63.88B.</x:v>
      </x:c>
      <x:c r="K43" s="75" t="str">
        <x:v>Use only as a broad category boundary because definitions differ.</x:v>
      </x:c>
      <x:c r="L43" s="75" t="str">
        <x:v>Low-medium</x:v>
      </x:c>
      <x:c r="M43" s="75" t="str">
        <x:v>Commercial methodology not inspected.</x:v>
      </x:c>
      <x:c r="N43" s="75" t="str">
        <x:v>https://www.fortunebusinessinsights.com/industry-reports/contact-center-software-market-100840</x:v>
      </x:c>
    </x:row>
    <x:row r="44" ht="58" customHeight="1">
      <x:c r="A44" s="75" t="str">
        <x:v>E43</x:v>
      </x:c>
      <x:c r="B44" s="75" t="str">
        <x:v>S34</x:v>
      </x:c>
      <x:c r="C44" s="75" t="str">
        <x:v>Contact Center Software Market Size Report</x:v>
      </x:c>
      <x:c r="D44" s="75" t="str">
        <x:v>Grand View Research</x:v>
      </x:c>
      <x:c r="E44" s="75" t="str">
        <x:v>Commercial market estimate</x:v>
      </x:c>
      <x:c r="F44" s="75" t="str">
        <x:v>Contact-center software</x:v>
      </x:c>
      <x:c r="G44" s="75" t="str">
        <x:v>Global market</x:v>
      </x:c>
      <x:c r="H44" s="75" t="str">
        <x:v>Analyst estimate</x:v>
      </x:c>
      <x:c r="I44" s="75" t="str">
        <x:v>Market size</x:v>
      </x:c>
      <x:c r="J44" s="75" t="str">
        <x:v>Grand View Research estimated the 2025 market at USD 47.71B.</x:v>
      </x:c>
      <x:c r="K44" s="75" t="str">
        <x:v>The difference from other estimates shows that a single top-down TAM would be misleading.</x:v>
      </x:c>
      <x:c r="L44" s="75" t="str">
        <x:v>Low-medium</x:v>
      </x:c>
      <x:c r="M44" s="75" t="str">
        <x:v>Commercial methodology not inspected.</x:v>
      </x:c>
      <x:c r="N44" s="75" t="str">
        <x:v>https://www.grandviewresearch.com/industry-analysis/contact-center-software-market</x:v>
      </x:c>
    </x:row>
    <x:row r="45" ht="58" customHeight="1">
      <x:c r="A45" s="75" t="str">
        <x:v>E44</x:v>
      </x:c>
      <x:c r="B45" s="75" t="str">
        <x:v>S35</x:v>
      </x:c>
      <x:c r="C45" s="75" t="str">
        <x:v>Help Desk Software Market</x:v>
      </x:c>
      <x:c r="D45" s="75" t="str">
        <x:v>Future Market Insights</x:v>
      </x:c>
      <x:c r="E45" s="75" t="str">
        <x:v>Commercial market estimate</x:v>
      </x:c>
      <x:c r="F45" s="75" t="str">
        <x:v>Help-desk software</x:v>
      </x:c>
      <x:c r="G45" s="75" t="str">
        <x:v>Global market</x:v>
      </x:c>
      <x:c r="H45" s="75" t="str">
        <x:v>Analyst estimate</x:v>
      </x:c>
      <x:c r="I45" s="75" t="str">
        <x:v>Market size</x:v>
      </x:c>
      <x:c r="J45" s="75" t="str">
        <x:v>Future Market Insights estimated the 2025 help-desk market at USD 14.3B.</x:v>
      </x:c>
      <x:c r="K45" s="75" t="str">
        <x:v>Market definition changes the result dramatically; calculate a bottom-up serviceable market after ICP validation.</x:v>
      </x:c>
      <x:c r="L45" s="75" t="str">
        <x:v>Low-medium</x:v>
      </x:c>
      <x:c r="M45" s="75" t="str">
        <x:v>Commercial methodology not inspected.</x:v>
      </x:c>
      <x:c r="N45" s="75" t="str">
        <x:v>https://www.futuremarketinsights.com/reports/help-desk-software-market</x:v>
      </x:c>
    </x:row>
    <x:row r="46" ht="58" customHeight="1">
      <x:c r="A46" s="75" t="str">
        <x:v>E45</x:v>
      </x:c>
      <x:c r="B46" s="75" t="str">
        <x:v>S38</x:v>
      </x:c>
      <x:c r="C46" s="75" t="str">
        <x:v>Freshworks Q4 2025 Earnings Call Transcript</x:v>
      </x:c>
      <x:c r="D46" s="75" t="str">
        <x:v>Freshworks investor relations</x:v>
      </x:c>
      <x:c r="E46" s="75" t="str">
        <x:v>Company operating disclosure</x:v>
      </x:c>
      <x:c r="F46" s="75" t="str">
        <x:v>Freddy AI</x:v>
      </x:c>
      <x:c r="G46" s="75" t="str">
        <x:v>Freshworks customers</x:v>
      </x:c>
      <x:c r="H46" s="75" t="str">
        <x:v>Management report</x:v>
      </x:c>
      <x:c r="I46" s="75" t="str">
        <x:v>Commercial adoption</x:v>
      </x:c>
      <x:c r="J46" s="75" t="str">
        <x:v>Freshworks reported more than 8000 Freddy AI customers and more than USD 25M in Freddy AI ARR at the end of 2025.</x:v>
      </x:c>
      <x:c r="K46" s="75" t="str">
        <x:v>AI support has observable commercial adoption but the incumbent has meaningful distribution and installed-base leverage.</x:v>
      </x:c>
      <x:c r="L46" s="75" t="str">
        <x:v>Medium-high</x:v>
      </x:c>
      <x:c r="M46" s="75" t="str">
        <x:v>Company-reported transcript statement; not independent or audited at feature level.</x:v>
      </x:c>
      <x:c r="N46" s="75" t="str">
        <x:v>https://ir.freshworks.com/files/doc_earnings/2025/q4/transcript/Transcript-Q4-2025.pdf</x:v>
      </x:c>
    </x:row>
    <x:row r="47" ht="58" customHeight="1">
      <x:c r="A47" s="75" t="str">
        <x:v>E46</x:v>
      </x:c>
      <x:c r="B47" s="75" t="str">
        <x:v>S39</x:v>
      </x:c>
      <x:c r="C47" s="75" t="str">
        <x:v>Generative AI at Work</x:v>
      </x:c>
      <x:c r="D47" s="75" t="str">
        <x:v>Quarterly Journal of Economics</x:v>
      </x:c>
      <x:c r="E47" s="75" t="str">
        <x:v>Peer-reviewed field study</x:v>
      </x:c>
      <x:c r="F47" s="75" t="str">
        <x:v>AI agent assist</x:v>
      </x:c>
      <x:c r="G47" s="75" t="str">
        <x:v>5172 customer-support agents</x:v>
      </x:c>
      <x:c r="H47" s="75" t="str">
        <x:v>Support agents</x:v>
      </x:c>
      <x:c r="I47" s="75" t="str">
        <x:v>Productivity</x:v>
      </x:c>
      <x:c r="J47" s="75" t="str">
        <x:v>Access to AI assistance increased issues resolved per hour by 15% on average.</x:v>
      </x:c>
      <x:c r="K47" s="75" t="str">
        <x:v>Agent assist has credible productivity evidence but the result is not a forecast for a new product or another segment.</x:v>
      </x:c>
      <x:c r="L47" s="75" t="str">
        <x:v>High</x:v>
      </x:c>
      <x:c r="M47" s="75" t="str">
        <x:v>One Fortune 500 software company and staggered rollout rather than a randomized trial.</x:v>
      </x:c>
      <x:c r="N47" s="75" t="str">
        <x:v>https://academic.oup.com/qje/article/140/2/889/7990658</x:v>
      </x:c>
    </x:row>
    <x:row r="48" ht="58" customHeight="1">
      <x:c r="A48" s="75" t="str">
        <x:v>E47</x:v>
      </x:c>
      <x:c r="B48" s="75" t="str">
        <x:v>S39</x:v>
      </x:c>
      <x:c r="C48" s="75" t="str">
        <x:v>Generative AI at Work</x:v>
      </x:c>
      <x:c r="D48" s="75" t="str">
        <x:v>Quarterly Journal of Economics</x:v>
      </x:c>
      <x:c r="E48" s="75" t="str">
        <x:v>Peer-reviewed field study</x:v>
      </x:c>
      <x:c r="F48" s="75" t="str">
        <x:v>AI agent assist</x:v>
      </x:c>
      <x:c r="G48" s="75" t="str">
        <x:v>5172 customer-support agents</x:v>
      </x:c>
      <x:c r="H48" s="75" t="str">
        <x:v>Support agents by skill and experience</x:v>
      </x:c>
      <x:c r="I48" s="75" t="str">
        <x:v>Performance heterogeneity</x:v>
      </x:c>
      <x:c r="J48" s="75" t="str">
        <x:v>Less-experienced and lower-skilled agents improved speed and quality while the most experienced agents saw small speed gains and small quality declines.</x:v>
      </x:c>
      <x:c r="K48" s="75" t="str">
        <x:v>Rollout and evaluation should be segmented by agent experience; a single average can hide workflow harm.</x:v>
      </x:c>
      <x:c r="L48" s="75" t="str">
        <x:v>High</x:v>
      </x:c>
      <x:c r="M48" s="75" t="str">
        <x:v>One company; observed effects depend on the deployed assistant and work design.</x:v>
      </x:c>
      <x:c r="N48" s="75" t="str">
        <x:v>https://academic.oup.com/qje/article/140/2/889/7990658</x:v>
      </x:c>
    </x:row>
    <x:row r="49" ht="58" customHeight="1">
      <x:c r="A49" s="75" t="str">
        <x:v>E48</x:v>
      </x:c>
      <x:c r="B49" s="75" t="str">
        <x:v>S39</x:v>
      </x:c>
      <x:c r="C49" s="75" t="str">
        <x:v>Generative AI at Work</x:v>
      </x:c>
      <x:c r="D49" s="75" t="str">
        <x:v>Quarterly Journal of Economics</x:v>
      </x:c>
      <x:c r="E49" s="75" t="str">
        <x:v>Peer-reviewed field study</x:v>
      </x:c>
      <x:c r="F49" s="75" t="str">
        <x:v>AI agent assist</x:v>
      </x:c>
      <x:c r="G49" s="75" t="str">
        <x:v>5172 customer-support agents</x:v>
      </x:c>
      <x:c r="H49" s="75" t="str">
        <x:v>Support agents and issue types</x:v>
      </x:c>
      <x:c r="I49" s="75" t="str">
        <x:v>Issue fit</x:v>
      </x:c>
      <x:c r="J49" s="75" t="str">
        <x:v>The largest gains appeared for moderately rare problems where agents had less experience but the system still had adequate training data.</x:v>
      </x:c>
      <x:c r="K49" s="75" t="str">
        <x:v>Select a workflow with enough historical examples but meaningful agent search burden; neither trivial FAQs nor unsupported edge cases are ideal first targets.</x:v>
      </x:c>
      <x:c r="L49" s="75" t="str">
        <x:v>High</x:v>
      </x:c>
      <x:c r="M49" s="75" t="str">
        <x:v>Issue-frequency result is specific to the study setting.</x:v>
      </x:c>
      <x:c r="N49" s="75" t="str">
        <x:v>https://academic.oup.com/qje/article/140/2/889/7990658</x:v>
      </x:c>
    </x:row>
    <x:row r="50" ht="58" customHeight="1">
      <x:c r="A50" s="75" t="str">
        <x:v>E49</x:v>
      </x:c>
      <x:c r="B50" s="75" t="str">
        <x:v>S40</x:v>
      </x:c>
      <x:c r="C50" s="75" t="str">
        <x:v>Generative AI in Action: Field Experimental Evidence from Alibaba's Customer Service Operations</x:v>
      </x:c>
      <x:c r="D50" s="75" t="str">
        <x:v>SSRN research authors</x:v>
      </x:c>
      <x:c r="E50" s="75" t="str">
        <x:v>Randomized field experiment</x:v>
      </x:c>
      <x:c r="F50" s="75" t="str">
        <x:v>Generative AI assistant</x:v>
      </x:c>
      <x:c r="G50" s="75" t="str">
        <x:v>E-commerce after-sales service</x:v>
      </x:c>
      <x:c r="H50" s="75" t="str">
        <x:v>Customer-service agents</x:v>
      </x:c>
      <x:c r="I50" s="75" t="str">
        <x:v>Speed and service quality</x:v>
      </x:c>
      <x:c r="J50" s="75" t="str">
        <x:v>AI access improved service speed and customer ratings but did not significantly improve objective quality measured by customer retrials.</x:v>
      </x:c>
      <x:c r="K50" s="75" t="str">
        <x:v>Measure recontacts and durable resolution in addition to speed and satisfaction.</x:v>
      </x:c>
      <x:c r="L50" s="75" t="str">
        <x:v>High</x:v>
      </x:c>
      <x:c r="M50" s="75" t="str">
        <x:v>One e-commerce platform and preprint.</x:v>
      </x:c>
      <x:c r="N50" s="75" t="str">
        <x:v>https://ssrn.com/abstract=5012601</x:v>
      </x:c>
    </x:row>
    <x:row r="51" ht="58" customHeight="1">
      <x:c r="A51" s="75" t="str">
        <x:v>E50</x:v>
      </x:c>
      <x:c r="B51" s="75" t="str">
        <x:v>S40</x:v>
      </x:c>
      <x:c r="C51" s="75" t="str">
        <x:v>Generative AI in Action: Field Experimental Evidence from Alibaba's Customer Service Operations</x:v>
      </x:c>
      <x:c r="D51" s="75" t="str">
        <x:v>SSRN research authors</x:v>
      </x:c>
      <x:c r="E51" s="75" t="str">
        <x:v>Randomized field experiment</x:v>
      </x:c>
      <x:c r="F51" s="75" t="str">
        <x:v>Generative AI assistant</x:v>
      </x:c>
      <x:c r="G51" s="75" t="str">
        <x:v>E-commerce after-sales service</x:v>
      </x:c>
      <x:c r="H51" s="75" t="str">
        <x:v>Higher-performing agents</x:v>
      </x:c>
      <x:c r="I51" s="75" t="str">
        <x:v>Workflow disruption</x:v>
      </x:c>
      <x:c r="J51" s="75" t="str">
        <x:v>Top-performing agents experienced declines in subjective and objective quality associated with shift-away time response delays and immediate retrials.</x:v>
      </x:c>
      <x:c r="K51" s="75" t="str">
        <x:v>AI can disrupt strong existing workflows; adoption testing must include experienced agents and continuity measures.</x:v>
      </x:c>
      <x:c r="L51" s="75" t="str">
        <x:v>High</x:v>
      </x:c>
      <x:c r="M51" s="75" t="str">
        <x:v>One platform; causal mechanism is study-specific and preprint.</x:v>
      </x:c>
      <x:c r="N51" s="75" t="str">
        <x:v>https://ssrn.com/abstract=5012601</x:v>
      </x:c>
    </x:row>
    <x:row r="52" ht="58" customHeight="1">
      <x:c r="A52" s="75" t="str">
        <x:v>E51</x:v>
      </x:c>
      <x:c r="B52" s="75" t="str">
        <x:v>S41</x:v>
      </x:c>
      <x:c r="C52" s="75" t="str">
        <x:v>Engaging Customers with AI in Online Chats</x:v>
      </x:c>
      <x:c r="D52" s="75" t="str">
        <x:v>SSRN research authors</x:v>
      </x:c>
      <x:c r="E52" s="75" t="str">
        <x:v>Randomized field experiment</x:v>
      </x:c>
      <x:c r="F52" s="75" t="str">
        <x:v>AI-generated agent suggestions</x:v>
      </x:c>
      <x:c r="G52" s="75" t="str">
        <x:v>Meal-delivery customer service</x:v>
      </x:c>
      <x:c r="H52" s="75" t="str">
        <x:v>Support agents and customers</x:v>
      </x:c>
      <x:c r="I52" s="75" t="str">
        <x:v>Conversation fit</x:v>
      </x:c>
      <x:c r="J52" s="75" t="str">
        <x:v>AI assistance improved response speed engagement and customer sentiment but was least effective for repeat complaints caused by systemic issues.</x:v>
      </x:c>
      <x:c r="K52" s="75" t="str">
        <x:v>Route recurring systemic problems to accountable teams rather than repeatedly generating better replies.</x:v>
      </x:c>
      <x:c r="L52" s="75" t="str">
        <x:v>High</x:v>
      </x:c>
      <x:c r="M52" s="75" t="str">
        <x:v>One meal-delivery company and preprint; sample size not available in the abstract.</x:v>
      </x:c>
      <x:c r="N52" s="75" t="str">
        <x:v>https://ssrn.com/abstract=5173181</x:v>
      </x:c>
    </x:row>
    <x:row r="53" ht="58" customHeight="1">
      <x:c r="A53" s="75" t="str">
        <x:v>E52</x:v>
      </x:c>
      <x:c r="B53" s="75" t="str">
        <x:v>S41</x:v>
      </x:c>
      <x:c r="C53" s="75" t="str">
        <x:v>Engaging Customers with AI in Online Chats</x:v>
      </x:c>
      <x:c r="D53" s="75" t="str">
        <x:v>SSRN research authors</x:v>
      </x:c>
      <x:c r="E53" s="75" t="str">
        <x:v>Randomized field experiment</x:v>
      </x:c>
      <x:c r="F53" s="75" t="str">
        <x:v>Chatbot followed by AI-assisted human</x:v>
      </x:c>
      <x:c r="G53" s="75" t="str">
        <x:v>Meal-delivery customer service</x:v>
      </x:c>
      <x:c r="H53" s="75" t="str">
        <x:v>Customers after bot failure</x:v>
      </x:c>
      <x:c r="I53" s="75" t="str">
        <x:v>Handoff perception</x:v>
      </x:c>
      <x:c r="J53" s="75" t="str">
        <x:v>After chatbot comprehension failures AI-assisted human responses could reduce customer sentiment because unusually fast responses made customers think they were still dealing with a bot.</x:v>
      </x:c>
      <x:c r="K53" s="75" t="str">
        <x:v>Handoff design must make human ownership visible and account for the customer's prior failed interaction.</x:v>
      </x:c>
      <x:c r="L53" s="75" t="str">
        <x:v>High</x:v>
      </x:c>
      <x:c r="M53" s="75" t="str">
        <x:v>One company and preprint; mechanism may differ by channel and disclosure design.</x:v>
      </x:c>
      <x:c r="N53" s="75" t="str">
        <x:v>https://ssrn.com/abstract=5173181</x:v>
      </x:c>
    </x:row>
    <x:row r="54" ht="58" customHeight="1">
      <x:c r="A54" s="75" t="str">
        <x:v>E53</x:v>
      </x:c>
      <x:c r="B54" s="75" t="str">
        <x:v>S42</x:v>
      </x:c>
      <x:c r="C54" s="75" t="str">
        <x:v>Can LLM Chatbots Replace Flow-Driven Chatbots in Customer Service?</x:v>
      </x:c>
      <x:c r="D54" s="75" t="str">
        <x:v>SSRN research authors</x:v>
      </x:c>
      <x:c r="E54" s="75" t="str">
        <x:v>Five-month field experiment</x:v>
      </x:c>
      <x:c r="F54" s="75" t="str">
        <x:v>LLM chatbot versus flow chatbot</x:v>
      </x:c>
      <x:c r="G54" s="75" t="str">
        <x:v>Customer-service chatbot interactions</x:v>
      </x:c>
      <x:c r="H54" s="75" t="str">
        <x:v>Customers</x:v>
      </x:c>
      <x:c r="I54" s="75" t="str">
        <x:v>Chatbot performance</x:v>
      </x:c>
      <x:c r="J54" s="75" t="str">
        <x:v>The LLM chatbot increased useful feedback by 10.74% and reduced human escalation by 2.22% relative to the flow-driven chatbot.</x:v>
      </x:c>
      <x:c r="K54" s="75" t="str">
        <x:v>LLM chat can improve some interactions but the effect size on escalation is modest and does not prove end-to-end resolution.</x:v>
      </x:c>
      <x:c r="L54" s="75" t="str">
        <x:v>High</x:v>
      </x:c>
      <x:c r="M54" s="75" t="str">
        <x:v>One setting and preprint; exact business context is not transferable.</x:v>
      </x:c>
      <x:c r="N54" s="75" t="str">
        <x:v>https://ssrn.com/abstract=5223645</x:v>
      </x:c>
    </x:row>
    <x:row r="55" ht="58" customHeight="1">
      <x:c r="A55" s="75" t="str">
        <x:v>E54</x:v>
      </x:c>
      <x:c r="B55" s="75" t="str">
        <x:v>S42</x:v>
      </x:c>
      <x:c r="C55" s="75" t="str">
        <x:v>Can LLM Chatbots Replace Flow-Driven Chatbots in Customer Service?</x:v>
      </x:c>
      <x:c r="D55" s="75" t="str">
        <x:v>SSRN research authors</x:v>
      </x:c>
      <x:c r="E55" s="75" t="str">
        <x:v>Five-month field experiment</x:v>
      </x:c>
      <x:c r="F55" s="75" t="str">
        <x:v>LLM and flow-driven chatbots</x:v>
      </x:c>
      <x:c r="G55" s="75" t="str">
        <x:v>Customer-service chatbot interactions</x:v>
      </x:c>
      <x:c r="H55" s="75" t="str">
        <x:v>Customers</x:v>
      </x:c>
      <x:c r="I55" s="75" t="str">
        <x:v>Architecture fit</x:v>
      </x:c>
      <x:c r="J55" s="75" t="str">
        <x:v>Flow-driven chatbots retained advantages for simple button interactions and tasks requiring backend operations; the authors recommended a hybrid approach.</x:v>
      </x:c>
      <x:c r="K55" s="75" t="str">
        <x:v>Use deterministic flows or approval-bound actions where reliability matters and LLMs where language or intent complexity adds value.</x:v>
      </x:c>
      <x:c r="L55" s="75" t="str">
        <x:v>High</x:v>
      </x:c>
      <x:c r="M55" s="75" t="str">
        <x:v>One field setting and preprint; architecture guidance depends on risk and workflow.</x:v>
      </x:c>
      <x:c r="N55" s="75" t="str">
        <x:v>https://ssrn.com/abstract=5223645</x:v>
      </x:c>
    </x:row>
    <x:row r="56" ht="58" customHeight="1">
      <x:c r="A56" s="75" t="str">
        <x:v>E55</x:v>
      </x:c>
      <x:c r="B56" s="75" t="str">
        <x:v>S43</x:v>
      </x:c>
      <x:c r="C56" s="75" t="str">
        <x:v>Customer Service Representative's Perception of the AI Assistant in an Organization's Call Center</x:v>
      </x:c>
      <x:c r="D56" s="75" t="str">
        <x:v>arXiv research authors</x:v>
      </x:c>
      <x:c r="E56" s="75" t="str">
        <x:v>Qualitative field study</x:v>
      </x:c>
      <x:c r="F56" s="75" t="str">
        <x:v>AI assistant in call center</x:v>
      </x:c>
      <x:c r="G56" s="75" t="str">
        <x:v>13 customer-service representatives</x:v>
      </x:c>
      <x:c r="H56" s="75" t="str">
        <x:v>Frontline agents</x:v>
      </x:c>
      <x:c r="I56" s="75" t="str">
        <x:v>Work burden</x:v>
      </x:c>
      <x:c r="J56" s="75" t="str">
        <x:v>Agents reported reduced typing and memorization burden but new learning compliance and psychological burdens.</x:v>
      </x:c>
      <x:c r="K56" s="75" t="str">
        <x:v>Agent effort must include reviewing correcting learning and compliance work rather than only handle-time savings.</x:v>
      </x:c>
      <x:c r="L56" s="75" t="str">
        <x:v>Medium-high</x:v>
      </x:c>
      <x:c r="M56" s="75" t="str">
        <x:v>Small qualitative sample in one power-grid call center.</x:v>
      </x:c>
      <x:c r="N56" s="75" t="str">
        <x:v>https://arxiv.org/abs/2507.00513</x:v>
      </x:c>
    </x:row>
    <x:row r="57" ht="58" customHeight="1">
      <x:c r="A57" s="75" t="str">
        <x:v>E56</x:v>
      </x:c>
      <x:c r="B57" s="75" t="str">
        <x:v>S44</x:v>
      </x:c>
      <x:c r="C57" s="75" t="str">
        <x:v>2025 Customer Experience Annual Insights Report</x:v>
      </x:c>
      <x:c r="D57" s="75" t="str">
        <x:v>Verizon Business and Longitude</x:v>
      </x:c>
      <x:c r="E57" s="75" t="str">
        <x:v>Vendor-sponsored global survey</x:v>
      </x:c>
      <x:c r="F57" s="75" t="str">
        <x:v>Human versus AI customer service</x:v>
      </x:c>
      <x:c r="G57" s="75" t="str">
        <x:v>5000 consumers in seven countries</x:v>
      </x:c>
      <x:c r="H57" s="75" t="str">
        <x:v>Consumers</x:v>
      </x:c>
      <x:c r="I57" s="75" t="str">
        <x:v>Trust and satisfaction</x:v>
      </x:c>
      <x:c r="J57" s="75" t="str">
        <x:v>The study reported 88% satisfaction for mostly or fully human interactions versus 60% for AI-driven interactions.</x:v>
      </x:c>
      <x:c r="K57" s="75" t="str">
        <x:v>Human access and trust guardrails remain essential even when AI improves efficiency.</x:v>
      </x:c>
      <x:c r="L57" s="75" t="str">
        <x:v>Medium-high</x:v>
      </x:c>
      <x:c r="M57" s="75" t="str">
        <x:v>Vendor-sponsored consumer survey; broad sectors and not B2B-specific.</x:v>
      </x:c>
      <x:c r="N57" s="75" t="str">
        <x:v>https://www.verizon.com/about/news/ai-and-human-first-customer-experience</x:v>
      </x:c>
    </x:row>
    <x:row r="58" ht="58" customHeight="1">
      <x:c r="A58" s="75" t="str">
        <x:v>E57</x:v>
      </x:c>
      <x:c r="B58" s="75" t="str">
        <x:v>S44</x:v>
      </x:c>
      <x:c r="C58" s="75" t="str">
        <x:v>2025 Customer Experience Annual Insights Report</x:v>
      </x:c>
      <x:c r="D58" s="75" t="str">
        <x:v>Verizon Business and Longitude</x:v>
      </x:c>
      <x:c r="E58" s="75" t="str">
        <x:v>Vendor-sponsored global survey</x:v>
      </x:c>
      <x:c r="F58" s="75" t="str">
        <x:v>AI in customer experience</x:v>
      </x:c>
      <x:c r="G58" s="75" t="str">
        <x:v>500 executives in seven countries</x:v>
      </x:c>
      <x:c r="H58" s="75" t="str">
        <x:v>Senior executives</x:v>
      </x:c>
      <x:c r="I58" s="75" t="str">
        <x:v>Value realization</x:v>
      </x:c>
      <x:c r="J58" s="75" t="str">
        <x:v>Customer support was an AI use case for 75% of executives but only 47% named it among areas of greatest benefit.</x:v>
      </x:c>
      <x:c r="K58" s="75" t="str">
        <x:v>Adoption does not equal realized value; the product needs workflow-level outcome proof.</x:v>
      </x:c>
      <x:c r="L58" s="75" t="str">
        <x:v>Medium-high</x:v>
      </x:c>
      <x:c r="M58" s="75" t="str">
        <x:v>Self-reported executive responses and broad CX scope.</x:v>
      </x:c>
      <x:c r="N58" s="75" t="str">
        <x:v>https://www.verizon.com/business/resources/Tffe/reports/2025-cx-annual-insights-report.pdf</x:v>
      </x:c>
    </x:row>
    <x:row r="59" ht="58" customHeight="1">
      <x:c r="A59" s="75" t="str">
        <x:v>E58</x:v>
      </x:c>
      <x:c r="B59" s="75" t="str">
        <x:v>S44</x:v>
      </x:c>
      <x:c r="C59" s="75" t="str">
        <x:v>2025 Customer Experience Annual Insights Report</x:v>
      </x:c>
      <x:c r="D59" s="75" t="str">
        <x:v>Verizon Business and Longitude</x:v>
      </x:c>
      <x:c r="E59" s="75" t="str">
        <x:v>Vendor-sponsored global survey</x:v>
      </x:c>
      <x:c r="F59" s="75" t="str">
        <x:v>AI in customer experience</x:v>
      </x:c>
      <x:c r="G59" s="75" t="str">
        <x:v>500 executives in seven countries</x:v>
      </x:c>
      <x:c r="H59" s="75" t="str">
        <x:v>Senior executives</x:v>
      </x:c>
      <x:c r="I59" s="75" t="str">
        <x:v>Privacy constraint</x:v>
      </x:c>
      <x:c r="J59" s="75" t="str">
        <x:v>Sixty-five percent of surveyed brands said data-privacy rules limited their use of AI for personalization.</x:v>
      </x:c>
      <x:c r="K59" s="75" t="str">
        <x:v>Permission boundaries data minimization and explainable use of customer data affect adoption.</x:v>
      </x:c>
      <x:c r="L59" s="75" t="str">
        <x:v>Medium-high</x:v>
      </x:c>
      <x:c r="M59" s="75" t="str">
        <x:v>Vendor-sponsored and personalization is broader than support operations.</x:v>
      </x:c>
      <x:c r="N59" s="75" t="str">
        <x:v>https://www.verizon.com/business/resources/reports/cx-annual-insights/</x:v>
      </x:c>
    </x:row>
    <x:row r="60" ht="58" customHeight="1">
      <x:c r="A60" s="75" t="str">
        <x:v>E59</x:v>
      </x:c>
      <x:c r="B60" s="75" t="str">
        <x:v>S44</x:v>
      </x:c>
      <x:c r="C60" s="75" t="str">
        <x:v>2025 Customer Experience Annual Insights Report</x:v>
      </x:c>
      <x:c r="D60" s="75" t="str">
        <x:v>Verizon Business and Longitude</x:v>
      </x:c>
      <x:c r="E60" s="75" t="str">
        <x:v>Vendor-sponsored global survey</x:v>
      </x:c>
      <x:c r="F60" s="75" t="str">
        <x:v>AI measurement</x:v>
      </x:c>
      <x:c r="G60" s="75" t="str">
        <x:v>500 executives in seven countries</x:v>
      </x:c>
      <x:c r="H60" s="75" t="str">
        <x:v>Senior executives</x:v>
      </x:c>
      <x:c r="I60" s="75" t="str">
        <x:v>Evaluation maturity</x:v>
      </x:c>
      <x:c r="J60" s="75" t="str">
        <x:v>Forty-nine percent prioritized better customer-feedback mechanisms for AI use; 33% were developing new metrics and 14% said they had no AI-impact metrics.</x:v>
      </x:c>
      <x:c r="K60" s="75" t="str">
        <x:v>Feedback collection and measurable outcomes are part of the product and pilot design.</x:v>
      </x:c>
      <x:c r="L60" s="75" t="str">
        <x:v>Medium-high</x:v>
      </x:c>
      <x:c r="M60" s="75" t="str">
        <x:v>Self-reported plans do not prove implementation quality.</x:v>
      </x:c>
      <x:c r="N60" s="75" t="str">
        <x:v>https://www.verizon.com/business/resources/Tbc5/reports/2025-cx-annual-insights-report.pdf</x:v>
      </x:c>
    </x:row>
    <x:row r="61" ht="58" customHeight="1">
      <x:c r="A61" s="75" t="str">
        <x:v>E60</x:v>
      </x:c>
      <x:c r="B61" s="75" t="str">
        <x:v>S45</x:v>
      </x:c>
      <x:c r="C61" s="75" t="str">
        <x:v>Building Trust: How Customer Care Leaders Pull Ahead with AI</x:v>
      </x:c>
      <x:c r="D61" s="75" t="str">
        <x:v>McKinsey</x:v>
      </x:c>
      <x:c r="E61" s="75" t="str">
        <x:v>Consulting survey</x:v>
      </x:c>
      <x:c r="F61" s="75" t="str">
        <x:v>Customer-care maturity</x:v>
      </x:c>
      <x:c r="G61" s="75" t="str">
        <x:v>440 leaders and executives</x:v>
      </x:c>
      <x:c r="H61" s="75" t="str">
        <x:v>Customer-care organizations</x:v>
      </x:c>
      <x:c r="I61" s="75" t="str">
        <x:v>Fragmentation</x:v>
      </x:c>
      <x:c r="J61" s="75" t="str">
        <x:v>McKinsey classified the middle 40% as builders still facing fragmentation and limited integration; the bottom 30% were described as manual reactive and legacy-dependent.</x:v>
      </x:c>
      <x:c r="K61" s="75" t="str">
        <x:v>Fragmentation is widespread in the survey's maturity model but the target ICP and willingness to add a layer remain unproven.</x:v>
      </x:c>
      <x:c r="L61" s="75" t="str">
        <x:v>Medium-high</x:v>
      </x:c>
      <x:c r="M61" s="75" t="str">
        <x:v>Consulting-defined maturity groups and self-reported survey data.</x:v>
      </x:c>
      <x:c r="N61" s="75" t="str">
        <x:v>https://www.mckinsey.com/capabilities/operations/our-insights/building-trust-how-customer-care-leaders-pull-ahead-with-ai</x:v>
      </x:c>
    </x:row>
    <x:row r="62" ht="58" customHeight="1">
      <x:c r="A62" s="75" t="str">
        <x:v>E61</x:v>
      </x:c>
      <x:c r="B62" s="75" t="str">
        <x:v>S45</x:v>
      </x:c>
      <x:c r="C62" s="75" t="str">
        <x:v>Building Trust: How Customer Care Leaders Pull Ahead with AI</x:v>
      </x:c>
      <x:c r="D62" s="75" t="str">
        <x:v>McKinsey</x:v>
      </x:c>
      <x:c r="E62" s="75" t="str">
        <x:v>Consulting survey</x:v>
      </x:c>
      <x:c r="F62" s="75" t="str">
        <x:v>Customer-care AI maturity</x:v>
      </x:c>
      <x:c r="G62" s="75" t="str">
        <x:v>440 leaders and executives</x:v>
      </x:c>
      <x:c r="H62" s="75" t="str">
        <x:v>Top and bottom maturity groups</x:v>
      </x:c>
      <x:c r="I62" s="75" t="str">
        <x:v>Scaled adoption</x:v>
      </x:c>
      <x:c r="J62" s="75" t="str">
        <x:v>Sixty-seven percent of leaders reported foundational AI use at scale versus 16% of laggards.</x:v>
      </x:c>
      <x:c r="K62" s="75" t="str">
        <x:v>Mature operations combine technology data process and talent; software alone is unlikely to create the result.</x:v>
      </x:c>
      <x:c r="L62" s="75" t="str">
        <x:v>Medium-high</x:v>
      </x:c>
      <x:c r="M62" s="75" t="str">
        <x:v>Correlation within a consulting maturity model does not establish causality.</x:v>
      </x:c>
      <x:c r="N62" s="75" t="str">
        <x:v>https://www.mckinsey.com/capabilities/operations/our-insights/building-trust-how-customer-care-leaders-pull-ahead-with-ai</x:v>
      </x:c>
    </x:row>
    <x:row r="63" ht="58" customHeight="1">
      <x:c r="A63" s="75" t="str">
        <x:v>E62</x:v>
      </x:c>
      <x:c r="B63" s="75" t="str">
        <x:v>S45</x:v>
      </x:c>
      <x:c r="C63" s="75" t="str">
        <x:v>Building Trust: How Customer Care Leaders Pull Ahead with AI</x:v>
      </x:c>
      <x:c r="D63" s="75" t="str">
        <x:v>McKinsey</x:v>
      </x:c>
      <x:c r="E63" s="75" t="str">
        <x:v>Consulting survey</x:v>
      </x:c>
      <x:c r="F63" s="75" t="str">
        <x:v>Customer-care AI outcomes</x:v>
      </x:c>
      <x:c r="G63" s="75" t="str">
        <x:v>440 leaders and executives</x:v>
      </x:c>
      <x:c r="H63" s="75" t="str">
        <x:v>Top and bottom maturity groups</x:v>
      </x:c>
      <x:c r="I63" s="75" t="str">
        <x:v>Reported outcomes</x:v>
      </x:c>
      <x:c r="J63" s="75" t="str">
        <x:v>Forty-two percent of leaders reported reversing increasing inbound volume and 40% reported significantly improved customer-experience scores versus 12% of laggards.</x:v>
      </x:c>
      <x:c r="K63" s="75" t="str">
        <x:v>Deflection and customer experience can move together but need independently measured pilot baselines.</x:v>
      </x:c>
      <x:c r="L63" s="75" t="str">
        <x:v>Medium-high</x:v>
      </x:c>
      <x:c r="M63" s="75" t="str">
        <x:v>Self-reported outcomes and selected maturity segments; no causal design.</x:v>
      </x:c>
      <x:c r="N63" s="75" t="str">
        <x:v>https://www.mckinsey.com/capabilities/operations/our-insights/building-trust-how-customer-care-leaders-pull-ahead-with-ai</x:v>
      </x:c>
    </x:row>
    <x:row r="64" ht="58" customHeight="1">
      <x:c r="A64" s="75" t="str">
        <x:v>E63</x:v>
      </x:c>
      <x:c r="B64" s="75" t="str">
        <x:v>S46</x:v>
      </x:c>
      <x:c r="C64" s="75" t="str">
        <x:v>State of Service: AI Agents Edition</x:v>
      </x:c>
      <x:c r="D64" s="75" t="str">
        <x:v>Salesforce</x:v>
      </x:c>
      <x:c r="E64" s="75" t="str">
        <x:v>Vendor-sponsored global survey</x:v>
      </x:c>
      <x:c r="F64" s="75" t="str">
        <x:v>Agentic AI in service</x:v>
      </x:c>
      <x:c r="G64" s="75" t="str">
        <x:v>3075 service professionals</x:v>
      </x:c>
      <x:c r="H64" s="75" t="str">
        <x:v>Service organizations</x:v>
      </x:c>
      <x:c r="I64" s="75" t="str">
        <x:v>Adoption</x:v>
      </x:c>
      <x:c r="J64" s="75" t="str">
        <x:v>The survey reported AI-agent use increasing from 39% in 2025 to 66% in 2026; 85% used at least one form of AI.</x:v>
      </x:c>
      <x:c r="K64" s="75" t="str">
        <x:v>AI access is becoming common, increasing the need for a differentiated workflow and integration proposition.</x:v>
      </x:c>
      <x:c r="L64" s="75" t="str">
        <x:v>Medium-high</x:v>
      </x:c>
      <x:c r="M64" s="75" t="str">
        <x:v>Vendor-sponsored self-reported adoption and product-category definitions may be broad.</x:v>
      </x:c>
      <x:c r="N64" s="75" t="str">
        <x:v>https://www.salesforce.com/news/stories/ai-service-agents-improve-customer-satisfaction/</x:v>
      </x:c>
    </x:row>
    <x:row r="65" ht="58" customHeight="1">
      <x:c r="A65" s="75" t="str">
        <x:v>E64</x:v>
      </x:c>
      <x:c r="B65" s="75" t="str">
        <x:v>S46</x:v>
      </x:c>
      <x:c r="C65" s="75" t="str">
        <x:v>State of Service: AI Agents Edition</x:v>
      </x:c>
      <x:c r="D65" s="75" t="str">
        <x:v>Salesforce</x:v>
      </x:c>
      <x:c r="E65" s="75" t="str">
        <x:v>Vendor-sponsored global survey</x:v>
      </x:c>
      <x:c r="F65" s="75" t="str">
        <x:v>AI service agents</x:v>
      </x:c>
      <x:c r="G65" s="75" t="str">
        <x:v>Organizations already using AI agents</x:v>
      </x:c>
      <x:c r="H65" s="75" t="str">
        <x:v>Service professionals</x:v>
      </x:c>
      <x:c r="I65" s="75" t="str">
        <x:v>Time to value</x:v>
      </x:c>
      <x:c r="J65" s="75" t="str">
        <x:v>Seventy percent of organizations with AI service agents reported measurable value within 60 days.</x:v>
      </x:c>
      <x:c r="K65" s="75" t="str">
        <x:v>A 30-60 day pilot is plausible but the metric and magnitude of value must be defined before launch.</x:v>
      </x:c>
      <x:c r="L65" s="75" t="str">
        <x:v>Medium</x:v>
      </x:c>
      <x:c r="M65" s="75" t="str">
        <x:v>Vendor-sponsored self-report from adopters creates survivorship and definition bias.</x:v>
      </x:c>
      <x:c r="N65" s="75" t="str">
        <x:v>https://www.salesforce.com/news/stories/ai-service-agents-improve-customer-satisfaction/</x:v>
      </x:c>
    </x:row>
    <x:row r="66" ht="58" customHeight="1">
      <x:c r="A66" s="75" t="str">
        <x:v>E65</x:v>
      </x:c>
      <x:c r="B66" s="75" t="str">
        <x:v>S46</x:v>
      </x:c>
      <x:c r="C66" s="75" t="str">
        <x:v>State of Service: AI Agents Edition</x:v>
      </x:c>
      <x:c r="D66" s="75" t="str">
        <x:v>Salesforce</x:v>
      </x:c>
      <x:c r="E66" s="75" t="str">
        <x:v>Vendor-sponsored global survey</x:v>
      </x:c>
      <x:c r="F66" s="75" t="str">
        <x:v>AI service operations</x:v>
      </x:c>
      <x:c r="G66" s="75" t="str">
        <x:v>3075 service professionals</x:v>
      </x:c>
      <x:c r="H66" s="75" t="str">
        <x:v>Service operations and leaders</x:v>
      </x:c>
      <x:c r="I66" s="75" t="str">
        <x:v>Data readiness</x:v>
      </x:c>
      <x:c r="J66" s="75" t="str">
        <x:v>Seventy-two percent of service-operations professionals called data readiness a major blocker versus 59% of service leaders.</x:v>
      </x:c>
      <x:c r="K66" s="75" t="str">
        <x:v>Interview operations practitioners separately from leaders; frontline data-readiness risk may be underestimated by buyers.</x:v>
      </x:c>
      <x:c r="L66" s="75" t="str">
        <x:v>Medium-high</x:v>
      </x:c>
      <x:c r="M66" s="75" t="str">
        <x:v>Vendor-sponsored and role-level result does not isolate the target segment.</x:v>
      </x:c>
      <x:c r="N66" s="75" t="str">
        <x:v>https://www.salesforce.com/news/stories/ai-service-agents-improve-customer-satisfaction/</x:v>
      </x:c>
    </x:row>
    <x:row r="67" ht="58" customHeight="1">
      <x:c r="A67" s="75" t="str">
        <x:v>E66</x:v>
      </x:c>
      <x:c r="B67" s="75" t="str">
        <x:v>S46</x:v>
      </x:c>
      <x:c r="C67" s="75" t="str">
        <x:v>State of Service: AI Agents Edition</x:v>
      </x:c>
      <x:c r="D67" s="75" t="str">
        <x:v>Salesforce</x:v>
      </x:c>
      <x:c r="E67" s="75" t="str">
        <x:v>Vendor-sponsored synthesis</x:v>
      </x:c>
      <x:c r="F67" s="75" t="str">
        <x:v>AI service trust</x:v>
      </x:c>
      <x:c r="G67" s="75" t="str">
        <x:v>Service professionals and cited consumer index</x:v>
      </x:c>
      <x:c r="H67" s="75" t="str">
        <x:v>Service teams and consumers</x:v>
      </x:c>
      <x:c r="I67" s="75" t="str">
        <x:v>Trust gap</x:v>
      </x:c>
      <x:c r="J67" s="75" t="str">
        <x:v>Sixty-five percent of service professionals believed customers fully trusted AI while the cited Metrigy index reported only 44% of consumers trusted AI for service needs.</x:v>
      </x:c>
      <x:c r="K67" s="75" t="str">
        <x:v>Measure customer trust directly rather than relying on internal perception.</x:v>
      </x:c>
      <x:c r="L67" s="75" t="str">
        <x:v>Medium</x:v>
      </x:c>
      <x:c r="M67" s="75" t="str">
        <x:v>Combines two differently designed surveys and populations; original Metrigy methodology was not inspected.</x:v>
      </x:c>
      <x:c r="N67" s="75" t="str">
        <x:v>https://www.salesforce.com/news/stories/ai-service-agents-improve-customer-satisfaction/</x:v>
      </x:c>
    </x:row>
    <x:row r="68" ht="58" customHeight="1">
      <x:c r="A68" s="75" t="str">
        <x:v>E67</x:v>
      </x:c>
      <x:c r="B68" s="75" t="str">
        <x:v>S47</x:v>
      </x:c>
      <x:c r="C68" s="75" t="str">
        <x:v>Intercom Reviews</x:v>
      </x:c>
      <x:c r="D68" s="75" t="str">
        <x:v>Capterra</x:v>
      </x:c>
      <x:c r="E68" s="75" t="str">
        <x:v>Verified-review aggregate</x:v>
      </x:c>
      <x:c r="F68" s="75" t="str">
        <x:v>Intercom</x:v>
      </x:c>
      <x:c r="G68" s="75" t="str">
        <x:v>1135 Capterra reviews</x:v>
      </x:c>
      <x:c r="H68" s="75" t="str">
        <x:v>Mixed users and roles</x:v>
      </x:c>
      <x:c r="I68" s="75" t="str">
        <x:v>Incumbent strength</x:v>
      </x:c>
      <x:c r="J68" s="75" t="str">
        <x:v>Intercom had a 4.5 overall rating with 4.4 for ease of use and features and 4.0 for value for money at access.</x:v>
      </x:c>
      <x:c r="K68" s="75" t="str">
        <x:v>A new entrant must beat a strong established product on a narrow workflow rather than generic chat and inbox capability.</x:v>
      </x:c>
      <x:c r="L68" s="75" t="str">
        <x:v>Medium-high</x:v>
      </x:c>
      <x:c r="M68" s="75" t="str">
        <x:v>Commercial review platform aggregate; ratings change and mix product generations.</x:v>
      </x:c>
      <x:c r="N68" s="75" t="str">
        <x:v>https://www.capterra.com/p/134347/Intercom/</x:v>
      </x:c>
    </x:row>
    <x:row r="69" ht="58" customHeight="1">
      <x:c r="A69" s="75" t="str">
        <x:v>E68</x:v>
      </x:c>
      <x:c r="B69" s="75" t="str">
        <x:v>S47</x:v>
      </x:c>
      <x:c r="C69" s="75" t="str">
        <x:v>Intercom Reviews</x:v>
      </x:c>
      <x:c r="D69" s="75" t="str">
        <x:v>Capterra</x:v>
      </x:c>
      <x:c r="E69" s="75" t="str">
        <x:v>Verified review</x:v>
      </x:c>
      <x:c r="F69" s="75" t="str">
        <x:v>Intercom and Fin</x:v>
      </x:c>
      <x:c r="G69" s="75" t="str">
        <x:v>Computer-software company; 51-200 employees</x:v>
      </x:c>
      <x:c r="H69" s="75" t="str">
        <x:v>Director</x:v>
      </x:c>
      <x:c r="I69" s="75" t="str">
        <x:v>Integration depth</x:v>
      </x:c>
      <x:c r="J69" s="75" t="str">
        <x:v>A reviewer valued Fin for common interactions but said the Jira integration omitted data and forced users to return to Intercom to find it.</x:v>
      </x:c>
      <x:c r="K69" s="75" t="str">
        <x:v>Field completeness and staying in the user's primary tool are testable integration-quality dimensions.</x:v>
      </x:c>
      <x:c r="L69" s="75" t="str">
        <x:v>Medium</x:v>
      </x:c>
      <x:c r="M69" s="75" t="str">
        <x:v>One incentivized review and the limitation may sit with either product.</x:v>
      </x:c>
      <x:c r="N69" s="75" t="str">
        <x:v>https://www.capterra.com/p/134347/Intercom/reviews/</x:v>
      </x:c>
    </x:row>
    <x:row r="70" ht="58" customHeight="1">
      <x:c r="A70" s="75" t="str">
        <x:v>E69</x:v>
      </x:c>
      <x:c r="B70" s="75" t="str">
        <x:v>S47</x:v>
      </x:c>
      <x:c r="C70" s="75" t="str">
        <x:v>Intercom Reviews</x:v>
      </x:c>
      <x:c r="D70" s="75" t="str">
        <x:v>Capterra</x:v>
      </x:c>
      <x:c r="E70" s="75" t="str">
        <x:v>Verified-review synthesis</x:v>
      </x:c>
      <x:c r="F70" s="75" t="str">
        <x:v>Intercom pricing</x:v>
      </x:c>
      <x:c r="G70" s="75" t="str">
        <x:v>230 value-for-money reviews</x:v>
      </x:c>
      <x:c r="H70" s="75" t="str">
        <x:v>Mixed buyers and users</x:v>
      </x:c>
      <x:c r="I70" s="75" t="str">
        <x:v>Price predictability</x:v>
      </x:c>
      <x:c r="J70" s="75" t="str">
        <x:v>Capterra summarized recurring concerns about high prices add-ons plan changes and costs becoming difficult to predict as usage grows.</x:v>
      </x:c>
      <x:c r="K70" s="75" t="str">
        <x:v>Interview buyers about cost caps seasonality included usage and the acceptable definition of a paid resolution.</x:v>
      </x:c>
      <x:c r="L70" s="75" t="str">
        <x:v>Medium</x:v>
      </x:c>
      <x:c r="M70" s="75" t="str">
        <x:v>Platform-generated synthesis and reviews span different pricing versions.</x:v>
      </x:c>
      <x:c r="N70" s="75" t="str">
        <x:v>https://www.capterra.com/p/134347/Intercom/pricing/</x:v>
      </x:c>
    </x:row>
    <x:row r="71" ht="58" customHeight="1">
      <x:c r="A71" s="75" t="str">
        <x:v>E70</x:v>
      </x:c>
      <x:c r="B71" s="75" t="str">
        <x:v>S48</x:v>
      </x:c>
      <x:c r="C71" s="75" t="str">
        <x:v>Are You Using AI for Any Customer Success Tasks?</x:v>
      </x:c>
      <x:c r="D71" s="75" t="str">
        <x:v>Reddit CustomerSuccess</x:v>
      </x:c>
      <x:c r="E71" s="75" t="str">
        <x:v>Anonymous practitioner anecdote</x:v>
      </x:c>
      <x:c r="F71" s="75" t="str">
        <x:v>Customer-success automation</x:v>
      </x:c>
      <x:c r="G71" s="75" t="str">
        <x:v>One public discussion</x:v>
      </x:c>
      <x:c r="H71" s="75" t="str">
        <x:v>Customer-success practitioner</x:v>
      </x:c>
      <x:c r="I71" s="75" t="str">
        <x:v>Existing workaround</x:v>
      </x:c>
      <x:c r="J71" s="75" t="str">
        <x:v>A commenter described approving AI-created Intercom ticket drafts and connecting CRM ticketing and product-usage data into Slack with internal tools and automation.</x:v>
      </x:c>
      <x:c r="K71" s="75" t="str">
        <x:v>The desired outcome may be reliable orchestration inside existing work surfaces rather than a new destination UI.</x:v>
      </x:c>
      <x:c r="L71" s="75" t="str">
        <x:v>Low</x:v>
      </x:c>
      <x:c r="M71" s="75" t="str">
        <x:v>Anonymous self-report with possible commercial interest and no verification.</x:v>
      </x:c>
      <x:c r="N71" s="75" t="str">
        <x:v>https://www.reddit.com/r/CustomerSuccess/comments/1kzon99/are_you_using_ai_for_any_cs_tasks/</x:v>
      </x:c>
    </x:row>
    <x:row r="72" ht="58" customHeight="1">
      <x:c r="A72" s="75" t="str">
        <x:v>E71</x:v>
      </x:c>
      <x:c r="B72" s="75" t="str">
        <x:v>S49</x:v>
      </x:c>
      <x:c r="C72" s="75" t="str">
        <x:v>Use Slack as a Customer Success Platform?</x:v>
      </x:c>
      <x:c r="D72" s="75" t="str">
        <x:v>Reddit CustomerSuccess</x:v>
      </x:c>
      <x:c r="E72" s="75" t="str">
        <x:v>Anonymous community discussion</x:v>
      </x:c>
      <x:c r="F72" s="75" t="str">
        <x:v>Customer-success platforms</x:v>
      </x:c>
      <x:c r="G72" s="75" t="str">
        <x:v>Small CS team and public replies</x:v>
      </x:c>
      <x:c r="H72" s="75" t="str">
        <x:v>Customer-success and operations practitioners</x:v>
      </x:c>
      <x:c r="I72" s="75" t="str">
        <x:v>Adoption resistance</x:v>
      </x:c>
      <x:c r="J72" s="75" t="str">
        <x:v>The discussion described dedicated platforms as clunky and included users preferring CRM analytics internal tools or templates rather than another silo.</x:v>
      </x:c>
      <x:c r="K72" s="75" t="str">
        <x:v>A separate layer must show faster time to value and low administration or it may be rejected as another platform.</x:v>
      </x:c>
      <x:c r="L72" s="75" t="str">
        <x:v>Low</x:v>
      </x:c>
      <x:c r="M72" s="75" t="str">
        <x:v>Anonymous self-selected opinions and vendor participation.</x:v>
      </x:c>
      <x:c r="N72" s="75" t="str">
        <x:v>https://www.reddit.com/r/CustomerSuccess/comments/1rltfs2/use_slack_as_csp/</x:v>
      </x:c>
    </x:row>
    <x:row r="73" ht="58" customHeight="1">
      <x:c r="A73" s="75" t="str">
        <x:v>E72</x:v>
      </x:c>
      <x:c r="B73" s="75" t="str">
        <x:v>S50</x:v>
      </x:c>
      <x:c r="C73" s="75" t="str">
        <x:v>Salesforce or HubSpot for Customer Success?</x:v>
      </x:c>
      <x:c r="D73" s="75" t="str">
        <x:v>Reddit CustomerSuccess</x:v>
      </x:c>
      <x:c r="E73" s="75" t="str">
        <x:v>Anonymous community discussion</x:v>
      </x:c>
      <x:c r="F73" s="75" t="str">
        <x:v>Customer-success workflow</x:v>
      </x:c>
      <x:c r="G73" s="75" t="str">
        <x:v>One public discussion</x:v>
      </x:c>
      <x:c r="H73" s="75" t="str">
        <x:v>Customer-success practitioners</x:v>
      </x:c>
      <x:c r="I73" s="75" t="str">
        <x:v>Context switching</x:v>
      </x:c>
      <x:c r="J73" s="75" t="str">
        <x:v>A reply described CSMs moving across CRM Slack documents and email or chat history to reconstruct the full customer picture.</x:v>
      </x:c>
      <x:c r="K73" s="75" t="str">
        <x:v>Measure search time sources checked and missing context in a recent real case.</x:v>
      </x:c>
      <x:c r="L73" s="75" t="str">
        <x:v>Low</x:v>
      </x:c>
      <x:c r="M73" s="75" t="str">
        <x:v>Anonymous comment and possible vendor-generated content.</x:v>
      </x:c>
      <x:c r="N73" s="75" t="str">
        <x:v>https://www.reddit.com/r/CustomerSuccess/comments/1kayfio/salesforce_or_hubspot_for_cs_something_else/</x:v>
      </x:c>
    </x:row>
    <x:row r="74" ht="58" customHeight="1">
      <x:c r="A74" s="75" t="str">
        <x:v>E73</x:v>
      </x:c>
      <x:c r="B74" s="75" t="str">
        <x:v>S51</x:v>
      </x:c>
      <x:c r="C74" s="75" t="str">
        <x:v>How Did You Automate the Most Boring Parts of Being a CSM?</x:v>
      </x:c>
      <x:c r="D74" s="75" t="str">
        <x:v>Reddit CustomerSuccess</x:v>
      </x:c>
      <x:c r="E74" s="75" t="str">
        <x:v>Anonymous community discussion</x:v>
      </x:c>
      <x:c r="F74" s="75" t="str">
        <x:v>Customer-success automation</x:v>
      </x:c>
      <x:c r="G74" s="75" t="str">
        <x:v>One public discussion</x:v>
      </x:c>
      <x:c r="H74" s="75" t="str">
        <x:v>Customer-success practitioners</x:v>
      </x:c>
      <x:c r="I74" s="75" t="str">
        <x:v>Data and workflow discipline</x:v>
      </x:c>
      <x:c r="J74" s="75" t="str">
        <x:v>Comments said automation misses the mark when CRM data is stale and that notes often are not completed unless logged immediately after calls.</x:v>
      </x:c>
      <x:c r="K74" s="75" t="str">
        <x:v>The product must reduce write-back effort and expose stale or missing data rather than assuming clean inputs.</x:v>
      </x:c>
      <x:c r="L74" s="75" t="str">
        <x:v>Low</x:v>
      </x:c>
      <x:c r="M74" s="75" t="str">
        <x:v>Anonymous self-reports and vendor promotion present.</x:v>
      </x:c>
      <x:c r="N74" s="75" t="str">
        <x:v>https://www.reddit.com/r/CustomerSuccess/comments/1adtiq8/how_did_you_automate_the_most_boring_parts_of/</x:v>
      </x:c>
    </x:row>
    <x:row r="75" ht="58" customHeight="1">
      <x:c r="A75" s="75" t="str">
        <x:v>E74</x:v>
      </x:c>
      <x:c r="B75" s="75" t="str">
        <x:v>S51</x:v>
      </x:c>
      <x:c r="C75" s="75" t="str">
        <x:v>How Did You Automate the Most Boring Parts of Being a CSM?</x:v>
      </x:c>
      <x:c r="D75" s="75" t="str">
        <x:v>Reddit CustomerSuccess</x:v>
      </x:c>
      <x:c r="E75" s="75" t="str">
        <x:v>Anonymous community discussion</x:v>
      </x:c>
      <x:c r="F75" s="75" t="str">
        <x:v>Customer communication automation</x:v>
      </x:c>
      <x:c r="G75" s="75" t="str">
        <x:v>One public discussion</x:v>
      </x:c>
      <x:c r="H75" s="75" t="str">
        <x:v>Customer-success practitioners</x:v>
      </x:c>
      <x:c r="I75" s="75" t="str">
        <x:v>Human relationship risk</x:v>
      </x:c>
      <x:c r="J75" s="75" t="str">
        <x:v>A practitioner warned that over-automating customer communication can reduce engagement and create knowledge gaps.</x:v>
      </x:c>
      <x:c r="K75" s="75" t="str">
        <x:v>Keep high-value relationship communication human-led and test internal assistance first.</x:v>
      </x:c>
      <x:c r="L75" s="75" t="str">
        <x:v>Low</x:v>
      </x:c>
      <x:c r="M75" s="75" t="str">
        <x:v>One unverified anecdote with an unsupported portfolio-outcome claim.</x:v>
      </x:c>
      <x:c r="N75" s="75" t="str">
        <x:v>https://www.reddit.com/r/CustomerSuccess/comments/1adtiq8/how_did_you_automate_the_most_boring_parts_of/</x:v>
      </x:c>
    </x:row>
    <x:row r="76" ht="58" customHeight="1">
      <x:c r="A76" s="75" t="str">
        <x:v>E75</x:v>
      </x:c>
      <x:c r="B76" s="75" t="str">
        <x:v>S52</x:v>
      </x:c>
      <x:c r="C76" s="75" t="str">
        <x:v>Zendesk to Jira Integration That's Easy to Use?</x:v>
      </x:c>
      <x:c r="D76" s="75" t="str">
        <x:v>Reddit Zendesk</x:v>
      </x:c>
      <x:c r="E76" s="75" t="str">
        <x:v>Anonymous community discussion</x:v>
      </x:c>
      <x:c r="F76" s="75" t="str">
        <x:v>Zendesk-to-Jira workflow</x:v>
      </x:c>
      <x:c r="G76" s="75" t="str">
        <x:v>Support and engineering teams</x:v>
      </x:c>
      <x:c r="H76" s="75" t="str">
        <x:v>Customer-success and support practitioners</x:v>
      </x:c>
      <x:c r="I76" s="75" t="str">
        <x:v>Cross-team handoff</x:v>
      </x:c>
      <x:c r="J76" s="75" t="str">
        <x:v>The discussion valued creating and linking Jira issues from Zendesk so both teams could remain in their primary tools; custom fields increased setup difficulty.</x:v>
      </x:c>
      <x:c r="K76" s="75" t="str">
        <x:v>Start with a bounded support-to-engineering workflow and measure configuration effort field completeness and update consistency.</x:v>
      </x:c>
      <x:c r="L76" s="75" t="str">
        <x:v>Low</x:v>
      </x:c>
      <x:c r="M76" s="75" t="str">
        <x:v>Anonymous discussion with connector vendors and no independent testing.</x:v>
      </x:c>
      <x:c r="N76" s="75" t="str">
        <x:v>https://www.reddit.com/r/Zendesk/comments/1oljul9/zendesk_to_jira_integration_thats_easy_to_use/</x:v>
      </x:c>
    </x:row>
    <x:row r="77" ht="58" customHeight="1">
      <x:c r="A77" s="75" t="str">
        <x:v>E76</x:v>
      </x:c>
      <x:c r="B77" s="75" t="str">
        <x:v>S53</x:v>
      </x:c>
      <x:c r="C77" s="75" t="str">
        <x:v>Zendesk and Jira Legacy Integration</x:v>
      </x:c>
      <x:c r="D77" s="75" t="str">
        <x:v>Reddit Zendesk</x:v>
      </x:c>
      <x:c r="E77" s="75" t="str">
        <x:v>Anonymous customer reports</x:v>
      </x:c>
      <x:c r="F77" s="75" t="str">
        <x:v>Zendesk-Jira integration</x:v>
      </x:c>
      <x:c r="G77" s="75" t="str">
        <x:v>Current integration users</x:v>
      </x:c>
      <x:c r="H77" s="75" t="str">
        <x:v>Support administrators</x:v>
      </x:c>
      <x:c r="I77" s="75" t="str">
        <x:v>Connector durability</x:v>
      </x:c>
      <x:c r="J77" s="75" t="str">
        <x:v>Users reported a functioning integration being delisted or disappearing and difficulty reinstalling or reverting after deprecation.</x:v>
      </x:c>
      <x:c r="K77" s="75" t="str">
        <x:v>Version monitoring migration paths and recoverable connector upgrades may be more valuable than connector count.</x:v>
      </x:c>
      <x:c r="L77" s="75" t="str">
        <x:v>Low</x:v>
      </x:c>
      <x:c r="M77" s="75" t="str">
        <x:v>Anonymous current reports not reproduced independently.</x:v>
      </x:c>
      <x:c r="N77" s="75" t="str">
        <x:v>https://www.reddit.com/r/Zendesk/comments/1vskiuf/zendesk_and_jira_i_guess_legacy_integration/</x:v>
      </x:c>
    </x:row>
    <x:row r="78" ht="58" customHeight="1">
      <x:c r="A78" s="75" t="str">
        <x:v>E77</x:v>
      </x:c>
      <x:c r="B78" s="75" t="str">
        <x:v>S54</x:v>
      </x:c>
      <x:c r="C78" s="75" t="str">
        <x:v>Auto-Create Zendesk Tickets from Bot Messages in Slack</x:v>
      </x:c>
      <x:c r="D78" s="75" t="str">
        <x:v>Reddit Zendesk</x:v>
      </x:c>
      <x:c r="E78" s="75" t="str">
        <x:v>Anonymous technical anecdote</x:v>
      </x:c>
      <x:c r="F78" s="75" t="str">
        <x:v>Slack-to-Zendesk automation</x:v>
      </x:c>
      <x:c r="G78" s="75" t="str">
        <x:v>One edge-case discussion</x:v>
      </x:c>
      <x:c r="H78" s="75" t="str">
        <x:v>Support automation administrator</x:v>
      </x:c>
      <x:c r="I78" s="75" t="str">
        <x:v>Automation exception</x:v>
      </x:c>
      <x:c r="J78" s="75" t="str">
        <x:v>A user reported that trusted bot or workflow messages were ignored by an auto-ticketing flow unless the integration explicitly handled bot events and trusted applications.</x:v>
      </x:c>
      <x:c r="K78" s="75" t="str">
        <x:v>Workflow coverage must include machine-generated events identity allowlists and safe rejection behavior.</x:v>
      </x:c>
      <x:c r="L78" s="75" t="str">
        <x:v>Low</x:v>
      </x:c>
      <x:c r="M78" s="75" t="str">
        <x:v>One anonymous edge case and suggested code was not tested.</x:v>
      </x:c>
      <x:c r="N78" s="75" t="str">
        <x:v>https://www.reddit.com/r/Zendesk/comments/1vqrzh9/anyone_found_a_good_way_to_autocreate_zendesk/</x:v>
      </x:c>
    </x:row>
    <x:row r="79" ht="58" customHeight="1">
      <x:c r="A79" s="75" t="str">
        <x:v>E78</x:v>
      </x:c>
      <x:c r="B79" s="75" t="str">
        <x:v>S55</x:v>
      </x:c>
      <x:c r="C79" s="75" t="str">
        <x:v>AI Support Is Cutting Costs but Hurting Critical Moments</x:v>
      </x:c>
      <x:c r="D79" s="75" t="str">
        <x:v>Reddit customerexperience</x:v>
      </x:c>
      <x:c r="E79" s="75" t="str">
        <x:v>Anonymous community discussion</x:v>
      </x:c>
      <x:c r="F79" s="75" t="str">
        <x:v>AI-to-human support handoff</x:v>
      </x:c>
      <x:c r="G79" s="75" t="str">
        <x:v>One public discussion</x:v>
      </x:c>
      <x:c r="H79" s="75" t="str">
        <x:v>Customers and support practitioners</x:v>
      </x:c>
      <x:c r="I79" s="75" t="str">
        <x:v>Handoff failure</x:v>
      </x:c>
      <x:c r="J79" s="75" t="str">
        <x:v>Participants described bot loops followed by human agents receiving insufficient context which forced customers to repeat the issue.</x:v>
      </x:c>
      <x:c r="K79" s="75" t="str">
        <x:v>Preserve transcript verified facts actions attempted failure reason and customer sentiment in the handoff packet.</x:v>
      </x:c>
      <x:c r="L79" s="75" t="str">
        <x:v>Low</x:v>
      </x:c>
      <x:c r="M79" s="75" t="str">
        <x:v>Anonymous comments; headline statistic and claimed CSAT comparison were not independently sourced.</x:v>
      </x:c>
      <x:c r="N79" s="75" t="str">
        <x:v>https://www.reddit.com/r/customerexperience/comments/1ud82vo/ai_support_is_cutting_costs_but_quietly_wrecking/</x:v>
      </x:c>
    </x:row>
    <x:row r="80" ht="58" customHeight="1">
      <x:c r="A80" s="75" t="str">
        <x:v>E79</x:v>
      </x:c>
      <x:c r="B80" s="75" t="str">
        <x:v>S56</x:v>
      </x:c>
      <x:c r="C80" s="75" t="str">
        <x:v>Launch HN: Unthread - Customer Support Entirely Within Slack</x:v>
      </x:c>
      <x:c r="D80" s="75" t="str">
        <x:v>Hacker News</x:v>
      </x:c>
      <x:c r="E80" s="75" t="str">
        <x:v>Founder case and public discussion</x:v>
      </x:c>
      <x:c r="F80" s="75" t="str">
        <x:v>B2B support in Slack</x:v>
      </x:c>
      <x:c r="G80" s="75" t="str">
        <x:v>Startup customers and support teams</x:v>
      </x:c>
      <x:c r="H80" s="75" t="str">
        <x:v>Founders and practitioners</x:v>
      </x:c>
      <x:c r="I80" s="75" t="str">
        <x:v>Request ownership</x:v>
      </x:c>
      <x:c r="J80" s="75" t="str">
        <x:v>The launch case described customer requests arriving in Slack and teams using unread flags reminders and DMs while follow-ups still slipped through cracks.</x:v>
      </x:c>
      <x:c r="K80" s="75" t="str">
        <x:v>For Slack-based B2B support the key job is converting conversation into an owned request with status SLA and escalation.</x:v>
      </x:c>
      <x:c r="L80" s="75" t="str">
        <x:v>Low-medium</x:v>
      </x:c>
      <x:c r="M80" s="75" t="str">
        <x:v>Commercial launch narrative; comments are self-selected and outcomes were not independently verified.</x:v>
      </x:c>
      <x:c r="N80" s="75" t="str">
        <x:v>https://news.ycombinator.com/item?id=33593456</x:v>
      </x:c>
    </x:row>
    <x:row r="81" ht="58" customHeight="1">
      <x:c r="A81" s="75" t="str">
        <x:v>E80</x:v>
      </x:c>
      <x:c r="B81" s="75" t="str">
        <x:v>S56</x:v>
      </x:c>
      <x:c r="C81" s="75" t="str">
        <x:v>Launch HN: Unthread - Customer Support Entirely Within Slack</x:v>
      </x:c>
      <x:c r="D81" s="75" t="str">
        <x:v>Hacker News</x:v>
      </x:c>
      <x:c r="E81" s="75" t="str">
        <x:v>Founder case and public discussion</x:v>
      </x:c>
      <x:c r="F81" s="75" t="str">
        <x:v>B2B support in Slack</x:v>
      </x:c>
      <x:c r="G81" s="75" t="str">
        <x:v>Public discussion</x:v>
      </x:c>
      <x:c r="H81" s="75" t="str">
        <x:v>Support practitioners</x:v>
      </x:c>
      <x:c r="I81" s="75" t="str">
        <x:v>Cross-system coordination</x:v>
      </x:c>
      <x:c r="J81" s="75" t="str">
        <x:v>A commenter described support cases requiring Slack discussion with subject-matter experts and the difficulty of synchronizing that discussion back to the customer case.</x:v>
      </x:c>
      <x:c r="K81" s="75" t="str">
        <x:v>Durable two-way write-back and ownership are core requirements for a cross-system workflow.</x:v>
      </x:c>
      <x:c r="L81" s="75" t="str">
        <x:v>Low</x:v>
      </x:c>
      <x:c r="M81" s="75" t="str">
        <x:v>Anonymous comment and no measured frequency or impact.</x:v>
      </x:c>
      <x:c r="N81" s="75" t="str">
        <x:v>https://news.ycombinator.com/item?id=33593456</x:v>
      </x:c>
    </x:row>
    <x:row r="82" ht="58" customHeight="1">
      <x:c r="A82" s="75" t="str">
        <x:v>E81</x:v>
      </x:c>
      <x:c r="B82" s="75" t="str">
        <x:v>S57</x:v>
      </x:c>
      <x:c r="C82" s="75" t="str">
        <x:v>Ask HN: Will Low-Quality AI Customer Support Be the New Normal?</x:v>
      </x:c>
      <x:c r="D82" s="75" t="str">
        <x:v>Hacker News</x:v>
      </x:c>
      <x:c r="E82" s="75" t="str">
        <x:v>Anonymous consumer discussion</x:v>
      </x:c>
      <x:c r="F82" s="75" t="str">
        <x:v>AI customer support</x:v>
      </x:c>
      <x:c r="G82" s="75" t="str">
        <x:v>27 points and 32 comments at access</x:v>
      </x:c>
      <x:c r="H82" s="75" t="str">
        <x:v>Consumers</x:v>
      </x:c>
      <x:c r="I82" s="75" t="str">
        <x:v>Escalation access</x:v>
      </x:c>
      <x:c r="J82" s="75" t="str">
        <x:v>The discussion repeatedly described ineffective bot loops before users could reach a person.</x:v>
      </x:c>
      <x:c r="K82" s="75" t="str">
        <x:v>Human escalation must be accessible and should trigger before the system compounds frustration.</x:v>
      </x:c>
      <x:c r="L82" s="75" t="str">
        <x:v>Low</x:v>
      </x:c>
      <x:c r="M82" s="75" t="str">
        <x:v>Anonymous self-selected anecdotes across unrelated companies.</x:v>
      </x:c>
      <x:c r="N82" s="75" t="str">
        <x:v>https://news.ycombinator.com/item?id=48087925</x:v>
      </x:c>
    </x:row>
    <x:row r="83" ht="58" customHeight="1">
      <x:c r="A83" s="75" t="str">
        <x:v>E82</x:v>
      </x:c>
      <x:c r="B83" s="75" t="str">
        <x:v>S58</x:v>
      </x:c>
      <x:c r="C83" s="75" t="str">
        <x:v>Intercom Changes Name to Fin</x:v>
      </x:c>
      <x:c r="D83" s="75" t="str">
        <x:v>Hacker News</x:v>
      </x:c>
      <x:c r="E83" s="75" t="str">
        <x:v>Anonymous practitioner discussion</x:v>
      </x:c>
      <x:c r="F83" s="75" t="str">
        <x:v>Human-AI customer support</x:v>
      </x:c>
      <x:c r="G83" s="75" t="str">
        <x:v>24 points and 39 comments at access</x:v>
      </x:c>
      <x:c r="H83" s="75" t="str">
        <x:v>Support practitioners and technology users</x:v>
      </x:c>
      <x:c r="I83" s="75" t="str">
        <x:v>Division of work</x:v>
      </x:c>
      <x:c r="J83" s="75" t="str">
        <x:v>One practitioner argued for humans on judgment and novel cases and AI on repetitive work while emphasizing that high-quality context requires skilled operational work.</x:v>
      </x:c>
      <x:c r="K83" s="75" t="str">
        <x:v>The operating model and context-maintenance workflow may matter more than the underlying model.</x:v>
      </x:c>
      <x:c r="L83" s="75" t="str">
        <x:v>Low</x:v>
      </x:c>
      <x:c r="M83" s="75" t="str">
        <x:v>Anonymous comment from a person associated with a support provider.</x:v>
      </x:c>
      <x:c r="N83" s="75" t="str">
        <x:v>https://news.ycombinator.com/item?id=48128842</x:v>
      </x:c>
    </x:row>
    <x:row r="84" ht="58" customHeight="1">
      <x:c r="A84" s="75" t="str">
        <x:v>E83</x:v>
      </x:c>
      <x:c r="B84" s="75" t="str">
        <x:v>S59</x:v>
      </x:c>
      <x:c r="C84" s="75" t="str">
        <x:v>Salesforce to Acquire Fin Discussion</x:v>
      </x:c>
      <x:c r="D84" s="75" t="str">
        <x:v>Hacker News</x:v>
      </x:c>
      <x:c r="E84" s="75" t="str">
        <x:v>Large public discussion</x:v>
      </x:c>
      <x:c r="F84" s="75" t="str">
        <x:v>AI customer support</x:v>
      </x:c>
      <x:c r="G84" s="75" t="str">
        <x:v>327 points and 241 comments at access</x:v>
      </x:c>
      <x:c r="H84" s="75" t="str">
        <x:v>Customers builders and operators</x:v>
      </x:c>
      <x:c r="I84" s="75" t="str">
        <x:v>Capability boundary</x:v>
      </x:c>
      <x:c r="J84" s="75" t="str">
        <x:v>Comments ranged from successful account-aware refunds to unresolved login problems with no human escalation and technical support missing enterprise-product nuance.</x:v>
      </x:c>
      <x:c r="K84" s="75" t="str">
        <x:v>Choose a narrow action the system can verify and provide a reliable escape path for unsupported cases.</x:v>
      </x:c>
      <x:c r="L84" s="75" t="str">
        <x:v>Low-medium</x:v>
      </x:c>
      <x:c r="M84" s="75" t="str">
        <x:v>Large but anonymous self-selected discussion with no controlled comparison.</x:v>
      </x:c>
      <x:c r="N84" s="75" t="str">
        <x:v>https://news.ycombinator.com/item?id=48540126</x:v>
      </x:c>
    </x:row>
    <x:row r="85" ht="58" customHeight="1">
      <x:c r="A85" s="75" t="str">
        <x:v>E84</x:v>
      </x:c>
      <x:c r="B85" s="75" t="str">
        <x:v>S59</x:v>
      </x:c>
      <x:c r="C85" s="75" t="str">
        <x:v>Salesforce to Acquire Fin Discussion</x:v>
      </x:c>
      <x:c r="D85" s="75" t="str">
        <x:v>Hacker News</x:v>
      </x:c>
      <x:c r="E85" s="75" t="str">
        <x:v>Large public discussion</x:v>
      </x:c>
      <x:c r="F85" s="75" t="str">
        <x:v>AI customer support</x:v>
      </x:c>
      <x:c r="G85" s="75" t="str">
        <x:v>327 points and 241 comments at access</x:v>
      </x:c>
      <x:c r="H85" s="75" t="str">
        <x:v>Builders and operators</x:v>
      </x:c>
      <x:c r="I85" s="75" t="str">
        <x:v>Context engineering</x:v>
      </x:c>
      <x:c r="J85" s="75" t="str">
        <x:v>Participants debated build versus buy but agreed that product knowledge account context and action access determine whether an AI agent can resolve issues.</x:v>
      </x:c>
      <x:c r="K85" s="75" t="str">
        <x:v>Selling a model wrapper is weak; evidence must show lower context-engineering and operations burden.</x:v>
      </x:c>
      <x:c r="L85" s="75" t="str">
        <x:v>Low-medium</x:v>
      </x:c>
      <x:c r="M85" s="75" t="str">
        <x:v>Anonymous debate with commercial interests and unverified cost claims.</x:v>
      </x:c>
      <x:c r="N85" s="75" t="str">
        <x:v>https://news.ycombinator.com/item?id=48540126</x:v>
      </x:c>
    </x:row>
    <x:row r="86" ht="58" customHeight="1">
      <x:c r="A86" s="75" t="str">
        <x:v>E85</x:v>
      </x:c>
      <x:c r="B86" s="75" t="str">
        <x:v>S60</x:v>
      </x:c>
      <x:c r="C86" s="75" t="str">
        <x:v>Zendesk Suite Reviews</x:v>
      </x:c>
      <x:c r="D86" s="75" t="str">
        <x:v>Capterra</x:v>
      </x:c>
      <x:c r="E86" s="75" t="str">
        <x:v>Verified-review aggregate</x:v>
      </x:c>
      <x:c r="F86" s="75" t="str">
        <x:v>Zendesk Suite</x:v>
      </x:c>
      <x:c r="G86" s="75" t="str">
        <x:v>4090 Capterra reviews</x:v>
      </x:c>
      <x:c r="H86" s="75" t="str">
        <x:v>Mixed roles and company sizes</x:v>
      </x:c>
      <x:c r="I86" s="75" t="str">
        <x:v>Incumbent strength</x:v>
      </x:c>
      <x:c r="J86" s="75" t="str">
        <x:v>Capterra reviewers commonly valued centralized tickets messages and channels for organized and consistent support.</x:v>
      </x:c>
      <x:c r="K86" s="75" t="str">
        <x:v>Basic omnichannel consolidation is already solved well enough for many customers.</x:v>
      </x:c>
      <x:c r="L86" s="75" t="str">
        <x:v>Medium-high</x:v>
      </x:c>
      <x:c r="M86" s="75" t="str">
        <x:v>Commercial review platform aggregate and mixed incentive status.</x:v>
      </x:c>
      <x:c r="N86" s="75" t="str">
        <x:v>https://www.capterra.com/p/164283/Zendesk/reviews/</x:v>
      </x:c>
    </x:row>
    <x:row r="87" ht="58" customHeight="1">
      <x:c r="A87" s="75" t="str">
        <x:v>E86</x:v>
      </x:c>
      <x:c r="B87" s="75" t="str">
        <x:v>S60</x:v>
      </x:c>
      <x:c r="C87" s="75" t="str">
        <x:v>Zendesk Suite Reviews</x:v>
      </x:c>
      <x:c r="D87" s="75" t="str">
        <x:v>Capterra</x:v>
      </x:c>
      <x:c r="E87" s="75" t="str">
        <x:v>Verified review</x:v>
      </x:c>
      <x:c r="F87" s="75" t="str">
        <x:v>Zendesk Suite</x:v>
      </x:c>
      <x:c r="G87" s="75" t="str">
        <x:v>Insurance user with 1-2 years of use</x:v>
      </x:c>
      <x:c r="H87" s="75" t="str">
        <x:v>Operations user</x:v>
      </x:c>
      <x:c r="I87" s="75" t="str">
        <x:v>Adoption friction</x:v>
      </x:c>
      <x:c r="J87" s="75" t="str">
        <x:v>A reviewer praised organized centralized support but described complexity and a learning period for new users.</x:v>
      </x:c>
      <x:c r="K87" s="75" t="str">
        <x:v>A focused workflow product may win on setup and usability but must avoid duplicating mature ticket management.</x:v>
      </x:c>
      <x:c r="L87" s="75" t="str">
        <x:v>Medium</x:v>
      </x:c>
      <x:c r="M87" s="75" t="str">
        <x:v>One review and broad consumer-service context.</x:v>
      </x:c>
      <x:c r="N87" s="75" t="str">
        <x:v>https://www.capterra.com/p/164283/Zendesk/reviews/</x:v>
      </x:c>
    </x:row>
    <x:row r="88" ht="58" customHeight="1">
      <x:c r="A88" s="75" t="str">
        <x:v>E87</x:v>
      </x:c>
      <x:c r="B88" s="75" t="str">
        <x:v>S61</x:v>
      </x:c>
      <x:c r="C88" s="75" t="str">
        <x:v>The Best AI Use Case in Customer Success Might Be Escalation Hygiene</x:v>
      </x:c>
      <x:c r="D88" s="75" t="str">
        <x:v>Reddit CustomerSuccess</x:v>
      </x:c>
      <x:c r="E88" s="75" t="str">
        <x:v>Anonymous community discussion</x:v>
      </x:c>
      <x:c r="F88" s="75" t="str">
        <x:v>Customer-success escalation</x:v>
      </x:c>
      <x:c r="G88" s="75" t="str">
        <x:v>One public thread</x:v>
      </x:c>
      <x:c r="H88" s="75" t="str">
        <x:v>Customer-success practitioners</x:v>
      </x:c>
      <x:c r="I88" s="75" t="str">
        <x:v>Escalation context</x:v>
      </x:c>
      <x:c r="J88" s="75" t="str">
        <x:v>The post described escalation work as reconstructing tickets product issues commercial promises account sensitivity ownership and missing next actions.</x:v>
      </x:c>
      <x:c r="K88" s="75" t="str">
        <x:v>An internal context packet and durable follow-up may be a safer initial AI workflow than autonomous replies.</x:v>
      </x:c>
      <x:c r="L88" s="75" t="str">
        <x:v>Low</x:v>
      </x:c>
      <x:c r="M88" s="75" t="str">
        <x:v>Anonymous and possibly synthetic or promotional content; no measured time or frequency.</x:v>
      </x:c>
      <x:c r="N88" s="75" t="str">
        <x:v>https://www.reddit.com/r/CustomerSuccess/comments/1ughwlb/the_best_ai_use_case_in_cs_might_be_escalation/</x:v>
      </x:c>
    </x:row>
    <x:row r="89" ht="58" customHeight="1">
      <x:c r="A89" s="75" t="str">
        <x:v>E88</x:v>
      </x:c>
      <x:c r="B89" s="75" t="str">
        <x:v>S62</x:v>
      </x:c>
      <x:c r="C89" s="75" t="str">
        <x:v>What Tools Do You Manage Customers With?</x:v>
      </x:c>
      <x:c r="D89" s="75" t="str">
        <x:v>Reddit CustomerSuccess</x:v>
      </x:c>
      <x:c r="E89" s="75" t="str">
        <x:v>Anonymous community discussion</x:v>
      </x:c>
      <x:c r="F89" s="75" t="str">
        <x:v>Customer-success account management</x:v>
      </x:c>
      <x:c r="G89" s="75" t="str">
        <x:v>Small-team account portfolio discussion</x:v>
      </x:c>
      <x:c r="H89" s="75" t="str">
        <x:v>Customer-success practitioners</x:v>
      </x:c>
      <x:c r="I89" s="75" t="str">
        <x:v>Manual workaround</x:v>
      </x:c>
      <x:c r="J89" s="75" t="str">
        <x:v>A commenter described manual health scores based on judgment and regular engagement and concluded that no perfect system exists.</x:v>
      </x:c>
      <x:c r="K89" s="75" t="str">
        <x:v>Interview how teams combine system signals with judgment before automating a health or prioritization decision.</x:v>
      </x:c>
      <x:c r="L89" s="75" t="str">
        <x:v>Low</x:v>
      </x:c>
      <x:c r="M89" s="75" t="str">
        <x:v>Anonymous comment with substantial vendor promotion in the thread.</x:v>
      </x:c>
      <x:c r="N89" s="75" t="str">
        <x:v>https://www.reddit.com/r/CustomerSuccess/comments/1i923o1/what_tools_do_you_manage_customers_with/</x:v>
      </x:c>
    </x:row>
    <x:row r="90" ht="58" customHeight="1">
      <x:c r="A90" s="75" t="str">
        <x:v>E89</x:v>
      </x:c>
      <x:c r="B90" s="75" t="str">
        <x:v>S63</x:v>
      </x:c>
      <x:c r="C90" s="75" t="str">
        <x:v>What Software Does Your Team Use?</x:v>
      </x:c>
      <x:c r="D90" s="75" t="str">
        <x:v>Reddit CustomerSuccess</x:v>
      </x:c>
      <x:c r="E90" s="75" t="str">
        <x:v>Anonymous community discussion</x:v>
      </x:c>
      <x:c r="F90" s="75" t="str">
        <x:v>Customer-success technology stack</x:v>
      </x:c>
      <x:c r="G90" s="75" t="str">
        <x:v>Practitioner stack examples</x:v>
      </x:c>
      <x:c r="H90" s="75" t="str">
        <x:v>Customer-success teams</x:v>
      </x:c>
      <x:c r="I90" s="75" t="str">
        <x:v>Tool fragmentation</x:v>
      </x:c>
      <x:c r="J90" s="75" t="str">
        <x:v>Respondents listed combinations of custom dashboards HubSpot Gong Notion Zendesk and Slack rather than one uniform system.</x:v>
      </x:c>
      <x:c r="K90" s="75" t="str">
        <x:v>The target workflow must tolerate heterogeneous stacks; however connector breadth alone remains insufficient differentiation.</x:v>
      </x:c>
      <x:c r="L90" s="75" t="str">
        <x:v>Low</x:v>
      </x:c>
      <x:c r="M90" s="75" t="str">
        <x:v>Anonymous self-selected stack examples and no prevalence estimate.</x:v>
      </x:c>
      <x:c r="N90" s="75" t="str">
        <x:v>https://www.reddit.com/r/CustomerSuccess/comments/1mjhgh1/what_software_does_your_team_use/</x:v>
      </x:c>
    </x:row>
    <x:row r="91" ht="58" customHeight="1">
      <x:c r="A91" s="75" t="str">
        <x:v>E90</x:v>
      </x:c>
      <x:c r="B91" s="75" t="str">
        <x:v>S64</x:v>
      </x:c>
      <x:c r="C91" s="75" t="str">
        <x:v>AI Customer Support Is Actually Good Now?</x:v>
      </x:c>
      <x:c r="D91" s="75" t="str">
        <x:v>Reddit CustomerSuccess</x:v>
      </x:c>
      <x:c r="E91" s="75" t="str">
        <x:v>Anonymous community discussion</x:v>
      </x:c>
      <x:c r="F91" s="75" t="str">
        <x:v>AI customer support</x:v>
      </x:c>
      <x:c r="G91" s="75" t="str">
        <x:v>One original post and public replies</x:v>
      </x:c>
      <x:c r="H91" s="75" t="str">
        <x:v>Customers and support practitioners</x:v>
      </x:c>
      <x:c r="I91" s="75" t="str">
        <x:v>Knowledge and handoff</x:v>
      </x:c>
      <x:c r="J91" s="75" t="str">
        <x:v>Comments attributed better AI experiences to stronger underlying data and described clean context-preserving human handoff as a remaining failure point.</x:v>
      </x:c>
      <x:c r="K91" s="75" t="str">
        <x:v>Evaluate knowledge coverage and handoff quality separately from conversational style.</x:v>
      </x:c>
      <x:c r="L91" s="75" t="str">
        <x:v>Low</x:v>
      </x:c>
      <x:c r="M91" s="75" t="str">
        <x:v>Anonymous thread with vendor-affiliated comments and no controlled evidence.</x:v>
      </x:c>
      <x:c r="N91" s="75" t="str">
        <x:v>https://www.reddit.com/r/CustomerSuccess/comments/1opz3cv/ai_customer_support_is_actually_good_now/</x:v>
      </x:c>
    </x:row>
    <x:row r="92" ht="58" customHeight="1">
      <x:c r="A92" s="75" t="str">
        <x:v>E91</x:v>
      </x:c>
      <x:c r="B92" s="75" t="str">
        <x:v>S65</x:v>
      </x:c>
      <x:c r="C92" s="75" t="str">
        <x:v>Do Not Blindly Switch to AI Customer Support</x:v>
      </x:c>
      <x:c r="D92" s="75" t="str">
        <x:v>Reddit CustomerSuccess</x:v>
      </x:c>
      <x:c r="E92" s="75" t="str">
        <x:v>Anonymous community discussion</x:v>
      </x:c>
      <x:c r="F92" s="75" t="str">
        <x:v>AI support automation</x:v>
      </x:c>
      <x:c r="G92" s="75" t="str">
        <x:v>One cautionary post and public replies</x:v>
      </x:c>
      <x:c r="H92" s="75" t="str">
        <x:v>Support practitioners</x:v>
      </x:c>
      <x:c r="I92" s="75" t="str">
        <x:v>Automation scope</x:v>
      </x:c>
      <x:c r="J92" s="75" t="str">
        <x:v>Comments recommended mapping ticket types edge cases and failure paths and starting with repeatable low-risk requests before broader automation.</x:v>
      </x:c>
      <x:c r="K92" s="75" t="str">
        <x:v>Use recent ticket evidence to select the first workflow and define explicit refusal and escalation rules.</x:v>
      </x:c>
      <x:c r="L92" s="75" t="str">
        <x:v>Low</x:v>
      </x:c>
      <x:c r="M92" s="75" t="str">
        <x:v>Anonymous thread with product promotion and unsupported performance claims.</x:v>
      </x:c>
      <x:c r="N92" s="75" t="str">
        <x:v>https://www.reddit.com/r/CustomerSuccess/comments/1ohk6ro/do_not_blindly_switch_to_ai_customer_support_in/</x:v>
      </x:c>
    </x:row>
  </x:sheetData>
  <x:pageMargins left="0.7" right="0.7" top="0.75" bottom="0.75" header="0.3" footer="0.3"/>
  <x:tableParts count="1">
    <x:tablePart xmlns:r="http://schemas.openxmlformats.org/officeDocument/2006/relationships" r:id="R01133c6ede4f4f69"/>
  </x:tableParts>
</x:worksheet>
</file>

<file path=xl/worksheets/sheet4.xml><?xml version="1.0" encoding="utf-8"?>
<x:worksheet xmlns:x="http://schemas.openxmlformats.org/spreadsheetml/2006/main">
  <x:sheetPr>
    <x:tabColor rgb="FF7B8794"/>
  </x:sheetPr>
  <x:sheetViews>
    <x:sheetView showGridLines="0" workbookViewId="0">
      <x:pane xSplit="1" ySplit="1" topLeftCell="B2" activePane="bottomRight" state="frozen"/>
    </x:sheetView>
  </x:sheetViews>
  <x:sheetFormatPr defaultRowHeight="15"/>
  <x:cols>
    <x:col min="1" max="1" width="10" hidden="0" customWidth="1"/>
    <x:col min="2" max="2" width="32" hidden="0" customWidth="1"/>
    <x:col min="3" max="3" width="22" hidden="0" customWidth="1"/>
    <x:col min="4" max="4" width="25" hidden="0" customWidth="1"/>
    <x:col min="5" max="5" width="16" hidden="0" customWidth="1"/>
    <x:col min="6" max="6" width="16" hidden="0" customWidth="1"/>
    <x:col min="7" max="7" width="35" hidden="0" customWidth="1"/>
    <x:col min="8" max="8" width="18" hidden="0" customWidth="1"/>
    <x:col min="9" max="9" width="35" hidden="0" customWidth="1"/>
    <x:col min="10" max="10" width="42" hidden="0" customWidth="1"/>
    <x:col min="11" max="11" width="28" hidden="0" customWidth="1"/>
  </x:cols>
  <x:sheetData>
    <x:row r="1" ht="30" customHeight="1">
      <x:c r="A1" s="81" t="str">
        <x:v>source_id</x:v>
      </x:c>
      <x:c r="B1" s="81" t="str">
        <x:v>title</x:v>
      </x:c>
      <x:c r="C1" s="81" t="str">
        <x:v>publisher</x:v>
      </x:c>
      <x:c r="D1" s="81" t="str">
        <x:v>source_type</x:v>
      </x:c>
      <x:c r="E1" s="81" t="str">
        <x:v>date_published</x:v>
      </x:c>
      <x:c r="F1" s="81" t="str">
        <x:v>accessed_date</x:v>
      </x:c>
      <x:c r="G1" s="81" t="str">
        <x:v>sample_or_scope</x:v>
      </x:c>
      <x:c r="H1" s="81" t="str">
        <x:v>evidence_strength</x:v>
      </x:c>
      <x:c r="I1" s="81" t="str">
        <x:v>bias_risk</x:v>
      </x:c>
      <x:c r="J1" s="81" t="str">
        <x:v>url</x:v>
      </x:c>
      <x:c r="K1" s="81" t="str">
        <x:v>used_for</x:v>
      </x:c>
    </x:row>
    <x:row r="2" ht="52" customHeight="1">
      <x:c r="A2" s="75" t="str">
        <x:v>S01</x:v>
      </x:c>
      <x:c r="B2" s="75" t="str">
        <x:v>B2B Product Strategy Assignment</x:v>
      </x:c>
      <x:c r="C2" s="75" t="str">
        <x:v>Airtribe assignment</x:v>
      </x:c>
      <x:c r="D2" s="75" t="str">
        <x:v>Assignment brief</x:v>
      </x:c>
      <x:c r="E2" s="75" t="str">
        <x:v>Unknown</x:v>
      </x:c>
      <x:c r="F2" s="75" t="str">
        <x:v>2026-09-10</x:v>
      </x:c>
      <x:c r="G2" s="75" t="str">
        <x:v>Assignment requirements</x:v>
      </x:c>
      <x:c r="H2" s="75" t="str">
        <x:v>Primary context</x:v>
      </x:c>
      <x:c r="I2" s="75" t="str">
        <x:v>Low</x:v>
      </x:c>
      <x:c r="J2" s="75" t="str">
        <x:v>../assignment-brief.md</x:v>
      </x:c>
      <x:c r="K2" s="75" t="str">
        <x:v>Required questions and evidence rules</x:v>
      </x:c>
    </x:row>
    <x:row r="3" ht="52" customHeight="1">
      <x:c r="A3" s="75" t="str">
        <x:v>S02</x:v>
      </x:c>
      <x:c r="B3" s="75" t="str">
        <x:v>Self-Service and Live Chat Will Surpass Traditional Channels by 2027</x:v>
      </x:c>
      <x:c r="C3" s="75" t="str">
        <x:v>Gartner</x:v>
      </x:c>
      <x:c r="D3" s="75" t="str">
        <x:v>Independent survey press release</x:v>
      </x:c>
      <x:c r="E3" s="75" t="str">
        <x:v>2025-08-27</x:v>
      </x:c>
      <x:c r="F3" s="75" t="str">
        <x:v>2026-09-10</x:v>
      </x:c>
      <x:c r="G3" s="75" t="str">
        <x:v>265 customer service and support leaders surveyed in April-May 2025</x:v>
      </x:c>
      <x:c r="H3" s="75" t="str">
        <x:v>High</x:v>
      </x:c>
      <x:c r="I3" s="75" t="str">
        <x:v>Medium; press-release summary</x:v>
      </x:c>
      <x:c r="J3" s="75" t="str">
        <x:v>https://www.gartner.com/en/newsroom/press-releases/2025-08-27-gartner-survey-finds-self-service-and-live-chat-will-surpass-traditional-channels-as-top-customer-service-technologies-by-2027</x:v>
      </x:c>
      <x:c r="K3" s="75" t="str">
        <x:v>Technology priorities and adoption caution</x:v>
      </x:c>
    </x:row>
    <x:row r="4" ht="52" customHeight="1">
      <x:c r="A4" s="75" t="str">
        <x:v>S03</x:v>
      </x:c>
      <x:c r="B4" s="75" t="str">
        <x:v>85% of Customer Service Leaders Will Explore or Pilot Customer-Facing Conversational GenAI in 2025</x:v>
      </x:c>
      <x:c r="C4" s="75" t="str">
        <x:v>Gartner</x:v>
      </x:c>
      <x:c r="D4" s="75" t="str">
        <x:v>Independent survey press release</x:v>
      </x:c>
      <x:c r="E4" s="75" t="str">
        <x:v>2024-12-09</x:v>
      </x:c>
      <x:c r="F4" s="75" t="str">
        <x:v>2026-09-10</x:v>
      </x:c>
      <x:c r="G4" s="75" t="str">
        <x:v>187 customer service and support leaders surveyed in July-August 2024</x:v>
      </x:c>
      <x:c r="H4" s="75" t="str">
        <x:v>High</x:v>
      </x:c>
      <x:c r="I4" s="75" t="str">
        <x:v>Medium; press-release summary</x:v>
      </x:c>
      <x:c r="J4" s="75" t="str">
        <x:v>https://www.gartner.com/en/newsroom/press-releases/2024-12-09-gartner-survey-reveals-85-percent-of-customer-service-leaders-will-explore-or-pilot-customer-facing-conversational-genai-in-2025</x:v>
      </x:c>
      <x:c r="K4" s="75" t="str">
        <x:v>Adoption intent</x:v>
      </x:c>
    </x:row>
    <x:row r="5" ht="52" customHeight="1">
      <x:c r="A5" s="75" t="str">
        <x:v>S04</x:v>
      </x:c>
      <x:c r="B5" s="75" t="str">
        <x:v>Market Guide for Customer Service Knowledge Management Systems</x:v>
      </x:c>
      <x:c r="C5" s="75" t="str">
        <x:v>Gartner</x:v>
      </x:c>
      <x:c r="D5" s="75" t="str">
        <x:v>Independent analyst abstract</x:v>
      </x:c>
      <x:c r="E5" s="75" t="str">
        <x:v>2025-06-18</x:v>
      </x:c>
      <x:c r="F5" s="75" t="str">
        <x:v>2026-09-10</x:v>
      </x:c>
      <x:c r="G5" s="75" t="str">
        <x:v>Market guide abstract</x:v>
      </x:c>
      <x:c r="H5" s="75" t="str">
        <x:v>Medium</x:v>
      </x:c>
      <x:c r="I5" s="75" t="str">
        <x:v>High; full report unavailable</x:v>
      </x:c>
      <x:c r="J5" s="75" t="str">
        <x:v>https://www.gartner.com/en/documents/6611102</x:v>
      </x:c>
      <x:c r="K5" s="75" t="str">
        <x:v>Knowledge management importance</x:v>
      </x:c>
    </x:row>
    <x:row r="6" ht="52" customHeight="1">
      <x:c r="A6" s="75" t="str">
        <x:v>S05</x:v>
      </x:c>
      <x:c r="B6" s="75" t="str">
        <x:v>2026 Customer Service Transformation Report</x:v>
      </x:c>
      <x:c r="C6" s="75" t="str">
        <x:v>Intercom</x:v>
      </x:c>
      <x:c r="D6" s="75" t="str">
        <x:v>Vendor survey</x:v>
      </x:c>
      <x:c r="E6" s="75" t="str">
        <x:v>2026-01-30</x:v>
      </x:c>
      <x:c r="F6" s="75" t="str">
        <x:v>2026-09-10</x:v>
      </x:c>
      <x:c r="G6" s="75" t="str">
        <x:v>2470 support professionals across regions and roles; survey Q4 2025</x:v>
      </x:c>
      <x:c r="H6" s="75" t="str">
        <x:v>Medium-high</x:v>
      </x:c>
      <x:c r="I6" s="75" t="str">
        <x:v>High; vendor-sponsored</x:v>
      </x:c>
      <x:c r="J6" s="75" t="str">
        <x:v>https://www.intercom.com/customer-transformation-report</x:v>
      </x:c>
      <x:c r="K6" s="75" t="str">
        <x:v>Adoption depth and operating-model change</x:v>
      </x:c>
    </x:row>
    <x:row r="7" ht="52" customHeight="1">
      <x:c r="A7" s="75" t="str">
        <x:v>S06</x:v>
      </x:c>
      <x:c r="B7" s="75" t="str">
        <x:v>Seventh State of Service Report announcement</x:v>
      </x:c>
      <x:c r="C7" s="75" t="str">
        <x:v>Salesforce</x:v>
      </x:c>
      <x:c r="D7" s="75" t="str">
        <x:v>Vendor survey</x:v>
      </x:c>
      <x:c r="E7" s="75" t="str">
        <x:v>2025-11-13</x:v>
      </x:c>
      <x:c r="F7" s="75" t="str">
        <x:v>2026-09-10</x:v>
      </x:c>
      <x:c r="G7" s="75" t="str">
        <x:v>6500 service professionals and decision makers across 40 countries; survey April-June 2025</x:v>
      </x:c>
      <x:c r="H7" s="75" t="str">
        <x:v>Medium-high</x:v>
      </x:c>
      <x:c r="I7" s="75" t="str">
        <x:v>High; vendor-sponsored</x:v>
      </x:c>
      <x:c r="J7" s="75" t="str">
        <x:v>https://www.salesforce.com/in/news/stories/state-of-service-report-announcement-2025/</x:v>
      </x:c>
      <x:c r="K7" s="75" t="str">
        <x:v>AI case-resolution expectations and security concerns</x:v>
      </x:c>
    </x:row>
    <x:row r="8" ht="52" customHeight="1">
      <x:c r="A8" s="75" t="str">
        <x:v>S07</x:v>
      </x:c>
      <x:c r="B8" s="75" t="str">
        <x:v>How and Where AI Is Showing ROI in Customer Support</x:v>
      </x:c>
      <x:c r="C8" s="75" t="str">
        <x:v>Freshworks</x:v>
      </x:c>
      <x:c r="D8" s="75" t="str">
        <x:v>Vendor operational benchmark</x:v>
      </x:c>
      <x:c r="E8" s="75" t="str">
        <x:v>2024-09-18</x:v>
      </x:c>
      <x:c r="F8" s="75" t="str">
        <x:v>2026-09-10</x:v>
      </x:c>
      <x:c r="G8" s="75" t="str">
        <x:v>19 million Freshdesk tickets and 37 million Freshchat conversations across 25+ industries; January 2023-April 2024</x:v>
      </x:c>
      <x:c r="H8" s="75" t="str">
        <x:v>Medium-high</x:v>
      </x:c>
      <x:c r="I8" s="75" t="str">
        <x:v>High; vendor customer base only</x:v>
      </x:c>
      <x:c r="J8" s="75" t="str">
        <x:v>https://www.freshworks.com/theworks/customer-experience/freshworks-customer-service-benchmark-report-2024/</x:v>
      </x:c>
      <x:c r="K8" s="75" t="str">
        <x:v>Usage frequency and operational outcomes</x:v>
      </x:c>
    </x:row>
    <x:row r="9" ht="52" customHeight="1">
      <x:c r="A9" s="75" t="str">
        <x:v>S08</x:v>
      </x:c>
      <x:c r="B9" s="75" t="str">
        <x:v>How 5 Top Industries Are Redefining Customer Support</x:v>
      </x:c>
      <x:c r="C9" s="75" t="str">
        <x:v>Freshworks</x:v>
      </x:c>
      <x:c r="D9" s="75" t="str">
        <x:v>Vendor operational benchmark summary</x:v>
      </x:c>
      <x:c r="E9" s="75" t="str">
        <x:v>2025-07-15</x:v>
      </x:c>
      <x:c r="F9" s="75" t="str">
        <x:v>2026-09-10</x:v>
      </x:c>
      <x:c r="G9" s="75" t="str">
        <x:v>32000 companies; 1.2 billion tickets; 138 million conversations</x:v>
      </x:c>
      <x:c r="H9" s="75" t="str">
        <x:v>Medium-high</x:v>
      </x:c>
      <x:c r="I9" s="75" t="str">
        <x:v>High; vendor customer base only</x:v>
      </x:c>
      <x:c r="J9" s="75" t="str">
        <x:v>https://www.freshworks.com/theworks/customer-experience/ai-top-5-industries-redefining-customer-support/</x:v>
      </x:c>
      <x:c r="K9" s="75" t="str">
        <x:v>Category scale and cross-industry use</x:v>
      </x:c>
    </x:row>
    <x:row r="10" ht="52" customHeight="1">
      <x:c r="A10" s="75" t="str">
        <x:v>S09</x:v>
      </x:c>
      <x:c r="B10" s="75" t="str">
        <x:v>The Mid-Market's $16 Billion Drain</x:v>
      </x:c>
      <x:c r="C10" s="75" t="str">
        <x:v>Freshworks</x:v>
      </x:c>
      <x:c r="D10" s="75" t="str">
        <x:v>Vendor-sponsored survey summary</x:v>
      </x:c>
      <x:c r="E10" s="75" t="str">
        <x:v>2026-05-27</x:v>
      </x:c>
      <x:c r="F10" s="75" t="str">
        <x:v>2026-09-10</x:v>
      </x:c>
      <x:c r="G10" s="75" t="str">
        <x:v>More than 12000 IT decision makers across six countries</x:v>
      </x:c>
      <x:c r="H10" s="75" t="str">
        <x:v>Medium</x:v>
      </x:c>
      <x:c r="I10" s="75" t="str">
        <x:v>High; vendor framing and methodology not fully inspected</x:v>
      </x:c>
      <x:c r="J10" s="75" t="str">
        <x:v>https://www.freshworks.com/theworks/employee-experience/cost-of-complexity-mid-market-blog/</x:v>
      </x:c>
      <x:c r="K10" s="75" t="str">
        <x:v>Mid-market complexity and integration barriers</x:v>
      </x:c>
    </x:row>
    <x:row r="11" ht="52" customHeight="1">
      <x:c r="A11" s="75" t="str">
        <x:v>S10</x:v>
      </x:c>
      <x:c r="B11" s="75" t="str">
        <x:v>Gen AI in Customer Care: Early Successes and Challenges</x:v>
      </x:c>
      <x:c r="C11" s="75" t="str">
        <x:v>McKinsey</x:v>
      </x:c>
      <x:c r="D11" s="75" t="str">
        <x:v>Independent practitioner analysis</x:v>
      </x:c>
      <x:c r="E11" s="75" t="str">
        <x:v>2024-04-26</x:v>
      </x:c>
      <x:c r="F11" s="75" t="str">
        <x:v>2026-09-10</x:v>
      </x:c>
      <x:c r="G11" s="75" t="str">
        <x:v>Early-adopter cases and operating analysis</x:v>
      </x:c>
      <x:c r="H11" s="75" t="str">
        <x:v>Medium</x:v>
      </x:c>
      <x:c r="I11" s="75" t="str">
        <x:v>Medium; consulting analysis</x:v>
      </x:c>
      <x:c r="J11" s="75" t="str">
        <x:v>https://www.mckinsey.com/capabilities/operations/our-insights/gen-ai-in-customer-care-early-successes-and-challenges</x:v>
      </x:c>
      <x:c r="K11" s="75" t="str">
        <x:v>Adoption sequencing</x:v>
      </x:c>
    </x:row>
    <x:row r="12" ht="52" customHeight="1">
      <x:c r="A12" s="75" t="str">
        <x:v>S11</x:v>
      </x:c>
      <x:c r="B12" s="75" t="str">
        <x:v>Building Customer Support AI Agents at 100M-User Scale</x:v>
      </x:c>
      <x:c r="C12" s="75" t="str">
        <x:v>Nubank authors via arXiv</x:v>
      </x:c>
      <x:c r="D12" s="75" t="str">
        <x:v>Research paper</x:v>
      </x:c>
      <x:c r="E12" s="75" t="str">
        <x:v>2026-06-07</x:v>
      </x:c>
      <x:c r="F12" s="75" t="str">
        <x:v>2026-09-10</x:v>
      </x:c>
      <x:c r="G12" s="75" t="str">
        <x:v>Five production deployments; includes large-scale A/B testing</x:v>
      </x:c>
      <x:c r="H12" s="75" t="str">
        <x:v>High</x:v>
      </x:c>
      <x:c r="I12" s="75" t="str">
        <x:v>Medium; one company and preprint</x:v>
      </x:c>
      <x:c r="J12" s="75" t="str">
        <x:v>https://arxiv.org/abs/2606.08867</x:v>
      </x:c>
      <x:c r="K12" s="75" t="str">
        <x:v>Evaluation-driven deployment evidence</x:v>
      </x:c>
    </x:row>
    <x:row r="13" ht="52" customHeight="1">
      <x:c r="A13" s="75" t="str">
        <x:v>S12</x:v>
      </x:c>
      <x:c r="B13" s="75" t="str">
        <x:v>Agentic AI and Human-in-the-Loop Interventions</x:v>
      </x:c>
      <x:c r="C13" s="75" t="str">
        <x:v>Research authors via arXiv</x:v>
      </x:c>
      <x:c r="D13" s="75" t="str">
        <x:v>Field experiment preprint</x:v>
      </x:c>
      <x:c r="E13" s="75" t="str">
        <x:v>2026-05-14</x:v>
      </x:c>
      <x:c r="F13" s="75" t="str">
        <x:v>2026-09-10</x:v>
      </x:c>
      <x:c r="G13" s="75" t="str">
        <x:v>Randomized field experiment in Alibaba customer service operations</x:v>
      </x:c>
      <x:c r="H13" s="75" t="str">
        <x:v>High</x:v>
      </x:c>
      <x:c r="I13" s="75" t="str">
        <x:v>Medium; one platform and preprint</x:v>
      </x:c>
      <x:c r="J13" s="75" t="str">
        <x:v>https://arxiv.org/abs/2605.14830</x:v>
      </x:c>
      <x:c r="K13" s="75" t="str">
        <x:v>Human escalation design</x:v>
      </x:c>
    </x:row>
    <x:row r="14" ht="52" customHeight="1">
      <x:c r="A14" s="75" t="str">
        <x:v>S13</x:v>
      </x:c>
      <x:c r="B14" s="75" t="str">
        <x:v>Intercom Pricing</x:v>
      </x:c>
      <x:c r="C14" s="75" t="str">
        <x:v>Intercom</x:v>
      </x:c>
      <x:c r="D14" s="75" t="str">
        <x:v>Official pricing</x:v>
      </x:c>
      <x:c r="E14" s="75" t="str">
        <x:v>Current at access</x:v>
      </x:c>
      <x:c r="F14" s="75" t="str">
        <x:v>2026-09-10</x:v>
      </x:c>
      <x:c r="G14" s="75" t="str">
        <x:v>Public list pricing</x:v>
      </x:c>
      <x:c r="H14" s="75" t="str">
        <x:v>High</x:v>
      </x:c>
      <x:c r="I14" s="75" t="str">
        <x:v>High; vendor pricing subject to change</x:v>
      </x:c>
      <x:c r="J14" s="75" t="str">
        <x:v>https://www.intercom.com/pricing</x:v>
      </x:c>
      <x:c r="K14" s="75" t="str">
        <x:v>Pricing and packaging</x:v>
      </x:c>
    </x:row>
    <x:row r="15" ht="52" customHeight="1">
      <x:c r="A15" s="75" t="str">
        <x:v>S14</x:v>
      </x:c>
      <x:c r="B15" s="75" t="str">
        <x:v>Zendesk Pricing</x:v>
      </x:c>
      <x:c r="C15" s="75" t="str">
        <x:v>Zendesk</x:v>
      </x:c>
      <x:c r="D15" s="75" t="str">
        <x:v>Official pricing</x:v>
      </x:c>
      <x:c r="E15" s="75" t="str">
        <x:v>Current at access</x:v>
      </x:c>
      <x:c r="F15" s="75" t="str">
        <x:v>2026-09-10</x:v>
      </x:c>
      <x:c r="G15" s="75" t="str">
        <x:v>Public list pricing and add-ons</x:v>
      </x:c>
      <x:c r="H15" s="75" t="str">
        <x:v>High</x:v>
      </x:c>
      <x:c r="I15" s="75" t="str">
        <x:v>High; vendor pricing subject to change</x:v>
      </x:c>
      <x:c r="J15" s="75" t="str">
        <x:v>https://www.zendesk.com/pricing/</x:v>
      </x:c>
      <x:c r="K15" s="75" t="str">
        <x:v>Pricing and packaging</x:v>
      </x:c>
    </x:row>
    <x:row r="16" ht="52" customHeight="1">
      <x:c r="A16" s="75" t="str">
        <x:v>S15</x:v>
      </x:c>
      <x:c r="B16" s="75" t="str">
        <x:v>Freshdesk Pricing</x:v>
      </x:c>
      <x:c r="C16" s="75" t="str">
        <x:v>Freshworks</x:v>
      </x:c>
      <x:c r="D16" s="75" t="str">
        <x:v>Official pricing</x:v>
      </x:c>
      <x:c r="E16" s="75" t="str">
        <x:v>Current at access</x:v>
      </x:c>
      <x:c r="F16" s="75" t="str">
        <x:v>2026-09-10</x:v>
      </x:c>
      <x:c r="G16" s="75" t="str">
        <x:v>Public list pricing and AI sessions</x:v>
      </x:c>
      <x:c r="H16" s="75" t="str">
        <x:v>High</x:v>
      </x:c>
      <x:c r="I16" s="75" t="str">
        <x:v>High; vendor pricing subject to change</x:v>
      </x:c>
      <x:c r="J16" s="75" t="str">
        <x:v>https://www.freshworks.com/freshdesk/pricing/</x:v>
      </x:c>
      <x:c r="K16" s="75" t="str">
        <x:v>Pricing and packaging</x:v>
      </x:c>
    </x:row>
    <x:row r="17" ht="52" customHeight="1">
      <x:c r="A17" s="75" t="str">
        <x:v>S16</x:v>
      </x:c>
      <x:c r="B17" s="75" t="str">
        <x:v>Agentforce Pricing</x:v>
      </x:c>
      <x:c r="C17" s="75" t="str">
        <x:v>Salesforce</x:v>
      </x:c>
      <x:c r="D17" s="75" t="str">
        <x:v>Official pricing</x:v>
      </x:c>
      <x:c r="E17" s="75" t="str">
        <x:v>Current at access</x:v>
      </x:c>
      <x:c r="F17" s="75" t="str">
        <x:v>2026-09-10</x:v>
      </x:c>
      <x:c r="G17" s="75" t="str">
        <x:v>Public consumption and license models</x:v>
      </x:c>
      <x:c r="H17" s="75" t="str">
        <x:v>High</x:v>
      </x:c>
      <x:c r="I17" s="75" t="str">
        <x:v>High; vendor pricing subject to change</x:v>
      </x:c>
      <x:c r="J17" s="75" t="str">
        <x:v>https://www.salesforce.com/agentforce/pricing/</x:v>
      </x:c>
      <x:c r="K17" s="75" t="str">
        <x:v>Pricing and packaging</x:v>
      </x:c>
    </x:row>
    <x:row r="18" ht="52" customHeight="1">
      <x:c r="A18" s="75" t="str">
        <x:v>S17</x:v>
      </x:c>
      <x:c r="B18" s="75" t="str">
        <x:v>Fin Procedures Explained</x:v>
      </x:c>
      <x:c r="C18" s="75" t="str">
        <x:v>Intercom</x:v>
      </x:c>
      <x:c r="D18" s="75" t="str">
        <x:v>Official product documentation</x:v>
      </x:c>
      <x:c r="E18" s="75" t="str">
        <x:v>2026-07-17</x:v>
      </x:c>
      <x:c r="F18" s="75" t="str">
        <x:v>2026-09-10</x:v>
      </x:c>
      <x:c r="G18" s="75" t="str">
        <x:v>Product capabilities and documented limitations</x:v>
      </x:c>
      <x:c r="H18" s="75" t="str">
        <x:v>High</x:v>
      </x:c>
      <x:c r="I18" s="75" t="str">
        <x:v>High; product claim</x:v>
      </x:c>
      <x:c r="J18" s="75" t="str">
        <x:v>https://www.intercom.com/help/en/articles/12495167-fin-procedures-explained</x:v>
      </x:c>
      <x:c r="K18" s="75" t="str">
        <x:v>Actions integration handoff simulation and limitations</x:v>
      </x:c>
    </x:row>
    <x:row r="19" ht="52" customHeight="1">
      <x:c r="A19" s="75" t="str">
        <x:v>S18</x:v>
      </x:c>
      <x:c r="B19" s="75" t="str">
        <x:v>AI Agents for Customer Service</x:v>
      </x:c>
      <x:c r="C19" s="75" t="str">
        <x:v>Zendesk</x:v>
      </x:c>
      <x:c r="D19" s="75" t="str">
        <x:v>Official product page</x:v>
      </x:c>
      <x:c r="E19" s="75" t="str">
        <x:v>Current at access</x:v>
      </x:c>
      <x:c r="F19" s="75" t="str">
        <x:v>2026-09-10</x:v>
      </x:c>
      <x:c r="G19" s="75" t="str">
        <x:v>Product capabilities</x:v>
      </x:c>
      <x:c r="H19" s="75" t="str">
        <x:v>High</x:v>
      </x:c>
      <x:c r="I19" s="75" t="str">
        <x:v>High; product claim</x:v>
      </x:c>
      <x:c r="J19" s="75" t="str">
        <x:v>https://www.zendesk.com/service/ai/ai-agents/</x:v>
      </x:c>
      <x:c r="K19" s="75" t="str">
        <x:v>Actions integrations governance and handoff</x:v>
      </x:c>
    </x:row>
    <x:row r="20" ht="52" customHeight="1">
      <x:c r="A20" s="75" t="str">
        <x:v>S19</x:v>
      </x:c>
      <x:c r="B20" s="75" t="str">
        <x:v>Freshdesk Integrations</x:v>
      </x:c>
      <x:c r="C20" s="75" t="str">
        <x:v>Freshworks</x:v>
      </x:c>
      <x:c r="D20" s="75" t="str">
        <x:v>Official product page</x:v>
      </x:c>
      <x:c r="E20" s="75" t="str">
        <x:v>Current at access</x:v>
      </x:c>
      <x:c r="F20" s="75" t="str">
        <x:v>2026-09-10</x:v>
      </x:c>
      <x:c r="G20" s="75" t="str">
        <x:v>1000+ claimed marketplace integrations</x:v>
      </x:c>
      <x:c r="H20" s="75" t="str">
        <x:v>High</x:v>
      </x:c>
      <x:c r="I20" s="75" t="str">
        <x:v>High; product claim</x:v>
      </x:c>
      <x:c r="J20" s="75" t="str">
        <x:v>https://www.freshworks.com/freshdesk/integrations/</x:v>
      </x:c>
      <x:c r="K20" s="75" t="str">
        <x:v>Integration breadth</x:v>
      </x:c>
    </x:row>
    <x:row r="21" ht="52" customHeight="1">
      <x:c r="A21" s="75" t="str">
        <x:v>S20</x:v>
      </x:c>
      <x:c r="B21" s="75" t="str">
        <x:v>Empower Agents with Data Cloud and AI Guardrails</x:v>
      </x:c>
      <x:c r="C21" s="75" t="str">
        <x:v>Salesforce Trailhead</x:v>
      </x:c>
      <x:c r="D21" s="75" t="str">
        <x:v>Official product documentation</x:v>
      </x:c>
      <x:c r="E21" s="75" t="str">
        <x:v>Current at access</x:v>
      </x:c>
      <x:c r="F21" s="75" t="str">
        <x:v>2026-09-10</x:v>
      </x:c>
      <x:c r="G21" s="75" t="str">
        <x:v>Trust-layer and audit capabilities</x:v>
      </x:c>
      <x:c r="H21" s="75" t="str">
        <x:v>High</x:v>
      </x:c>
      <x:c r="I21" s="75" t="str">
        <x:v>High; product claim</x:v>
      </x:c>
      <x:c r="J21" s="75" t="str">
        <x:v>https://trailhead.salesforce.com/content/learn/modules/data-cloud-powered-agentforce/enable-trusted-agents-with-data-cloud</x:v>
      </x:c>
      <x:c r="K21" s="75" t="str">
        <x:v>Governance and audit</x:v>
      </x:c>
    </x:row>
    <x:row r="22" ht="52" customHeight="1">
      <x:c r="A22" s="75" t="str">
        <x:v>S21</x:v>
      </x:c>
      <x:c r="B22" s="75" t="str">
        <x:v>Best Help Desk Software: User Reviews from September 2026</x:v>
      </x:c>
      <x:c r="C22" s="75" t="str">
        <x:v>G2</x:v>
      </x:c>
      <x:c r="D22" s="75" t="str">
        <x:v>Review-platform category summary</x:v>
      </x:c>
      <x:c r="E22" s="75" t="str">
        <x:v>2026-09</x:v>
      </x:c>
      <x:c r="F22" s="75" t="str">
        <x:v>2026-09-10</x:v>
      </x:c>
      <x:c r="G22" s="75" t="str">
        <x:v>Category-level review aggregation</x:v>
      </x:c>
      <x:c r="H22" s="75" t="str">
        <x:v>Medium</x:v>
      </x:c>
      <x:c r="I22" s="75" t="str">
        <x:v>Medium-high; AI summary and commercial platform</x:v>
      </x:c>
      <x:c r="J22" s="75" t="str">
        <x:v>https://www.g2.com/categories/help-desk</x:v>
      </x:c>
      <x:c r="K22" s="75" t="str">
        <x:v>Recurring review themes</x:v>
      </x:c>
    </x:row>
    <x:row r="23" ht="52" customHeight="1">
      <x:c r="A23" s="75" t="str">
        <x:v>S22</x:v>
      </x:c>
      <x:c r="B23" s="75" t="str">
        <x:v>Agentforce Service Reviews</x:v>
      </x:c>
      <x:c r="C23" s="75" t="str">
        <x:v>G2</x:v>
      </x:c>
      <x:c r="D23" s="75" t="str">
        <x:v>Review-platform aggregate</x:v>
      </x:c>
      <x:c r="E23" s="75" t="str">
        <x:v>Current at access</x:v>
      </x:c>
      <x:c r="F23" s="75" t="str">
        <x:v>2026-09-10</x:v>
      </x:c>
      <x:c r="G23" s="75" t="str">
        <x:v>7284 reviews; platform lists incentivization status</x:v>
      </x:c>
      <x:c r="H23" s="75" t="str">
        <x:v>Medium-high</x:v>
      </x:c>
      <x:c r="I23" s="75" t="str">
        <x:v>Medium-high; review selection and incentives</x:v>
      </x:c>
      <x:c r="J23" s="75" t="str">
        <x:v>https://www.g2.com/products/agentforce-service-formerly-salesforce-service-cloud/reviews</x:v>
      </x:c>
      <x:c r="K23" s="75" t="str">
        <x:v>Strengths and adoption friction</x:v>
      </x:c>
    </x:row>
    <x:row r="24" ht="52" customHeight="1">
      <x:c r="A24" s="75" t="str">
        <x:v>S23</x:v>
      </x:c>
      <x:c r="B24" s="75" t="str">
        <x:v>Freshdesk Reviews</x:v>
      </x:c>
      <x:c r="C24" s="75" t="str">
        <x:v>G2</x:v>
      </x:c>
      <x:c r="D24" s="75" t="str">
        <x:v>Review-platform aggregate</x:v>
      </x:c>
      <x:c r="E24" s="75" t="str">
        <x:v>Current at access</x:v>
      </x:c>
      <x:c r="F24" s="75" t="str">
        <x:v>2026-09-10</x:v>
      </x:c>
      <x:c r="G24" s="75" t="str">
        <x:v>3733 reviews; platform lists incentivization status</x:v>
      </x:c>
      <x:c r="H24" s="75" t="str">
        <x:v>Medium-high</x:v>
      </x:c>
      <x:c r="I24" s="75" t="str">
        <x:v>Medium-high; review selection and incentives</x:v>
      </x:c>
      <x:c r="J24" s="75" t="str">
        <x:v>https://www.g2.com/products/freshdesk/reviews</x:v>
      </x:c>
      <x:c r="K24" s="75" t="str">
        <x:v>Strengths and adoption friction</x:v>
      </x:c>
    </x:row>
    <x:row r="25" ht="52" customHeight="1">
      <x:c r="A25" s="75" t="str">
        <x:v>S24</x:v>
      </x:c>
      <x:c r="B25" s="75" t="str">
        <x:v>Zendesk for Customer Service Reviews</x:v>
      </x:c>
      <x:c r="C25" s="75" t="str">
        <x:v>G2</x:v>
      </x:c>
      <x:c r="D25" s="75" t="str">
        <x:v>Review-platform aggregate</x:v>
      </x:c>
      <x:c r="E25" s="75" t="str">
        <x:v>Current at access</x:v>
      </x:c>
      <x:c r="F25" s="75" t="str">
        <x:v>2026-09-10</x:v>
      </x:c>
      <x:c r="G25" s="75" t="str">
        <x:v>6824 reviews</x:v>
      </x:c>
      <x:c r="H25" s="75" t="str">
        <x:v>Medium-high</x:v>
      </x:c>
      <x:c r="I25" s="75" t="str">
        <x:v>Medium-high; review selection and incentives</x:v>
      </x:c>
      <x:c r="J25" s="75" t="str">
        <x:v>https://www.g2.com/products/zendesk-for-customer-service/reviews</x:v>
      </x:c>
      <x:c r="K25" s="75" t="str">
        <x:v>Strengths and adoption friction</x:v>
      </x:c>
    </x:row>
    <x:row r="26" ht="52" customHeight="1">
      <x:c r="A26" s="75" t="str">
        <x:v>S25</x:v>
      </x:c>
      <x:c r="B26" s="75" t="str">
        <x:v>Fin Reviews and Ratings</x:v>
      </x:c>
      <x:c r="C26" s="75" t="str">
        <x:v>TrustRadius</x:v>
      </x:c>
      <x:c r="D26" s="75" t="str">
        <x:v>Review-platform aggregate</x:v>
      </x:c>
      <x:c r="E26" s="75" t="str">
        <x:v>Current at access</x:v>
      </x:c>
      <x:c r="F26" s="75" t="str">
        <x:v>2026-09-10</x:v>
      </x:c>
      <x:c r="G26" s="75" t="str">
        <x:v>1057 reviews and ratings with company-size and role metadata</x:v>
      </x:c>
      <x:c r="H26" s="75" t="str">
        <x:v>Medium-high</x:v>
      </x:c>
      <x:c r="I26" s="75" t="str">
        <x:v>Medium-high; review selection and incentives</x:v>
      </x:c>
      <x:c r="J26" s="75" t="str">
        <x:v>https://www.trustradius.com/products/intercom/reviews</x:v>
      </x:c>
      <x:c r="K26" s="75" t="str">
        <x:v>Fin use cases and limitations</x:v>
      </x:c>
    </x:row>
    <x:row r="27" ht="52" customHeight="1">
      <x:c r="A27" s="75" t="str">
        <x:v>S26</x:v>
      </x:c>
      <x:c r="B27" s="75" t="str">
        <x:v>Zendesk Suite Reviews and Insights</x:v>
      </x:c>
      <x:c r="C27" s="75" t="str">
        <x:v>TrustRadius</x:v>
      </x:c>
      <x:c r="D27" s="75" t="str">
        <x:v>Review-platform aggregate</x:v>
      </x:c>
      <x:c r="E27" s="75" t="str">
        <x:v>Current at access</x:v>
      </x:c>
      <x:c r="F27" s="75" t="str">
        <x:v>2026-09-10</x:v>
      </x:c>
      <x:c r="G27" s="75" t="str">
        <x:v>1087 reviews and ratings; synthesis from 19 recent verified reviews</x:v>
      </x:c>
      <x:c r="H27" s="75" t="str">
        <x:v>Medium-high</x:v>
      </x:c>
      <x:c r="I27" s="75" t="str">
        <x:v>Medium-high; synthesized review sample and incentives</x:v>
      </x:c>
      <x:c r="J27" s="75" t="str">
        <x:v>https://www.trustradius.com/products/zendesk-support-suite/reviews</x:v>
      </x:c>
      <x:c r="K27" s="75" t="str">
        <x:v>Zendesk workflow and integration themes</x:v>
      </x:c>
    </x:row>
    <x:row r="28" ht="52" customHeight="1">
      <x:c r="A28" s="75" t="str">
        <x:v>S27</x:v>
      </x:c>
      <x:c r="B28" s="75" t="str">
        <x:v>Freshdesk Reviews and Insights</x:v>
      </x:c>
      <x:c r="C28" s="75" t="str">
        <x:v>TrustRadius</x:v>
      </x:c>
      <x:c r="D28" s="75" t="str">
        <x:v>Review-platform aggregate</x:v>
      </x:c>
      <x:c r="E28" s="75" t="str">
        <x:v>Current at access</x:v>
      </x:c>
      <x:c r="F28" s="75" t="str">
        <x:v>2026-09-10</x:v>
      </x:c>
      <x:c r="G28" s="75" t="str">
        <x:v>652 reviews and ratings; synthesis from 16 recent reviews</x:v>
      </x:c>
      <x:c r="H28" s="75" t="str">
        <x:v>Medium-high</x:v>
      </x:c>
      <x:c r="I28" s="75" t="str">
        <x:v>Medium-high; synthesized review sample and incentives</x:v>
      </x:c>
      <x:c r="J28" s="75" t="str">
        <x:v>https://www.trustradius.com/products/freshdesk/reviews</x:v>
      </x:c>
      <x:c r="K28" s="75" t="str">
        <x:v>Freshdesk workflow and integration themes</x:v>
      </x:c>
    </x:row>
    <x:row r="29" ht="52" customHeight="1">
      <x:c r="A29" s="75" t="str">
        <x:v>S28</x:v>
      </x:c>
      <x:c r="B29" s="75" t="str">
        <x:v>Salesforce Agentforce Service Reviews and Ratings</x:v>
      </x:c>
      <x:c r="C29" s="75" t="str">
        <x:v>TrustRadius</x:v>
      </x:c>
      <x:c r="D29" s="75" t="str">
        <x:v>Review-platform aggregate</x:v>
      </x:c>
      <x:c r="E29" s="75" t="str">
        <x:v>Current at access</x:v>
      </x:c>
      <x:c r="F29" s="75" t="str">
        <x:v>2026-09-10</x:v>
      </x:c>
      <x:c r="G29" s="75" t="str">
        <x:v>444 reviews and ratings</x:v>
      </x:c>
      <x:c r="H29" s="75" t="str">
        <x:v>Medium</x:v>
      </x:c>
      <x:c r="I29" s="75" t="str">
        <x:v>Medium-high; review selection and incentives</x:v>
      </x:c>
      <x:c r="J29" s="75" t="str">
        <x:v>https://www.trustradius.com/products/salesforce-service-cloud/reviews</x:v>
      </x:c>
      <x:c r="K29" s="75" t="str">
        <x:v>Salesforce adoption evidence</x:v>
      </x:c>
    </x:row>
    <x:row r="30" ht="52" customHeight="1">
      <x:c r="A30" s="75" t="str">
        <x:v>S29</x:v>
      </x:c>
      <x:c r="B30" s="75" t="str">
        <x:v>Fin Product Area</x:v>
      </x:c>
      <x:c r="C30" s="75" t="str">
        <x:v>Intercom Community</x:v>
      </x:c>
      <x:c r="D30" s="75" t="str">
        <x:v>Vendor-hosted community</x:v>
      </x:c>
      <x:c r="E30" s="75" t="str">
        <x:v>Current at access</x:v>
      </x:c>
      <x:c r="F30" s="75" t="str">
        <x:v>2026-09-10</x:v>
      </x:c>
      <x:c r="G30" s="75" t="str">
        <x:v>Public customer questions and product feedback</x:v>
      </x:c>
      <x:c r="H30" s="75" t="str">
        <x:v>Low-medium</x:v>
      </x:c>
      <x:c r="I30" s="75" t="str">
        <x:v>High; self-selected and vendor-hosted</x:v>
      </x:c>
      <x:c r="J30" s="75" t="str">
        <x:v>https://community.intercom.com/fin-89</x:v>
      </x:c>
      <x:c r="K30" s="75" t="str">
        <x:v>Operational pain signals</x:v>
      </x:c>
    </x:row>
    <x:row r="31" ht="52" customHeight="1">
      <x:c r="A31" s="75" t="str">
        <x:v>S30</x:v>
      </x:c>
      <x:c r="B31" s="75" t="str">
        <x:v>AI Agent Assistant Recommendation</x:v>
      </x:c>
      <x:c r="C31" s="75" t="str">
        <x:v>Reddit CustomerSuccess</x:v>
      </x:c>
      <x:c r="D31" s="75" t="str">
        <x:v>Anonymous community discussion</x:v>
      </x:c>
      <x:c r="E31" s="75" t="str">
        <x:v>2026-06-22</x:v>
      </x:c>
      <x:c r="F31" s="75" t="str">
        <x:v>2026-09-10</x:v>
      </x:c>
      <x:c r="G31" s="75" t="str">
        <x:v>One original poster and public replies</x:v>
      </x:c>
      <x:c r="H31" s="75" t="str">
        <x:v>Low</x:v>
      </x:c>
      <x:c r="I31" s="75" t="str">
        <x:v>Very high; anonymous and vendor promotion present</x:v>
      </x:c>
      <x:c r="J31" s="75" t="str">
        <x:v>https://www.reddit.com/r/CustomerSuccess/comments/1uchs8l/ai_agent_assistant_recommendation/</x:v>
      </x:c>
      <x:c r="K31" s="75" t="str">
        <x:v>Fin cost context learning escalation and knowledge gaps</x:v>
      </x:c>
    </x:row>
    <x:row r="32" ht="52" customHeight="1">
      <x:c r="A32" s="75" t="str">
        <x:v>S31</x:v>
      </x:c>
      <x:c r="B32" s="75" t="str">
        <x:v>Looking for a Zendesk-Compatible AI Chatbot</x:v>
      </x:c>
      <x:c r="C32" s="75" t="str">
        <x:v>Reddit Zendesk</x:v>
      </x:c>
      <x:c r="D32" s="75" t="str">
        <x:v>Anonymous community discussion</x:v>
      </x:c>
      <x:c r="E32" s="75" t="str">
        <x:v>2026-08-13</x:v>
      </x:c>
      <x:c r="F32" s="75" t="str">
        <x:v>2026-09-10</x:v>
      </x:c>
      <x:c r="G32" s="75" t="str">
        <x:v>One original poster and public replies</x:v>
      </x:c>
      <x:c r="H32" s="75" t="str">
        <x:v>Low</x:v>
      </x:c>
      <x:c r="I32" s="75" t="str">
        <x:v>Very high; anonymous and vendor promotion present</x:v>
      </x:c>
      <x:c r="J32" s="75" t="str">
        <x:v>https://www.reddit.com/r/Zendesk/comments/1vnak9c/looking_for_a_zd_compatible_ai_chat_bot/</x:v>
      </x:c>
      <x:c r="K32" s="75" t="str">
        <x:v>Automated-resolution economics</x:v>
      </x:c>
    </x:row>
    <x:row r="33" ht="52" customHeight="1">
      <x:c r="A33" s="75" t="str">
        <x:v>S32</x:v>
      </x:c>
      <x:c r="B33" s="75" t="str">
        <x:v>Cost-Effective AI Agent for Zendesk Support Tickets</x:v>
      </x:c>
      <x:c r="C33" s="75" t="str">
        <x:v>Reddit Zendesk</x:v>
      </x:c>
      <x:c r="D33" s="75" t="str">
        <x:v>Anonymous community discussion</x:v>
      </x:c>
      <x:c r="E33" s="75" t="str">
        <x:v>2026-05-05</x:v>
      </x:c>
      <x:c r="F33" s="75" t="str">
        <x:v>2026-09-10</x:v>
      </x:c>
      <x:c r="G33" s="75" t="str">
        <x:v>One original poster and public replies</x:v>
      </x:c>
      <x:c r="H33" s="75" t="str">
        <x:v>Low</x:v>
      </x:c>
      <x:c r="I33" s="75" t="str">
        <x:v>Very high; anonymous and vendor promotion present</x:v>
      </x:c>
      <x:c r="J33" s="75" t="str">
        <x:v>https://www.reddit.com/r/Zendesk/comments/1t4g4xt/is_there_a_costeffective_ai_agent_for_zendesk/</x:v>
      </x:c>
      <x:c r="K33" s="75" t="str">
        <x:v>Cost action layer and build-versus-buy</x:v>
      </x:c>
    </x:row>
    <x:row r="34" ht="52" customHeight="1">
      <x:c r="A34" s="75" t="str">
        <x:v>S33</x:v>
      </x:c>
      <x:c r="B34" s="75" t="str">
        <x:v>Contact Center Software Market Report</x:v>
      </x:c>
      <x:c r="C34" s="75" t="str">
        <x:v>Fortune Business Insights</x:v>
      </x:c>
      <x:c r="D34" s="75" t="str">
        <x:v>Commercial market estimate</x:v>
      </x:c>
      <x:c r="E34" s="75" t="str">
        <x:v>2026-08-17</x:v>
      </x:c>
      <x:c r="F34" s="75" t="str">
        <x:v>2026-09-10</x:v>
      </x:c>
      <x:c r="G34" s="75" t="str">
        <x:v>Global contact-center software definition</x:v>
      </x:c>
      <x:c r="H34" s="75" t="str">
        <x:v>Low-medium</x:v>
      </x:c>
      <x:c r="I34" s="75" t="str">
        <x:v>High; commercial methodology unavailable</x:v>
      </x:c>
      <x:c r="J34" s="75" t="str">
        <x:v>https://www.fortunebusinessinsights.com/industry-reports/contact-center-software-market-100840</x:v>
      </x:c>
      <x:c r="K34" s="75" t="str">
        <x:v>Top-down market-size boundary</x:v>
      </x:c>
    </x:row>
    <x:row r="35" ht="52" customHeight="1">
      <x:c r="A35" s="75" t="str">
        <x:v>S34</x:v>
      </x:c>
      <x:c r="B35" s="75" t="str">
        <x:v>Contact Center Software Market Size Report</x:v>
      </x:c>
      <x:c r="C35" s="75" t="str">
        <x:v>Grand View Research</x:v>
      </x:c>
      <x:c r="D35" s="75" t="str">
        <x:v>Commercial market estimate</x:v>
      </x:c>
      <x:c r="E35" s="75" t="str">
        <x:v>2026</x:v>
      </x:c>
      <x:c r="F35" s="75" t="str">
        <x:v>2026-09-10</x:v>
      </x:c>
      <x:c r="G35" s="75" t="str">
        <x:v>Global contact-center software definition</x:v>
      </x:c>
      <x:c r="H35" s="75" t="str">
        <x:v>Low-medium</x:v>
      </x:c>
      <x:c r="I35" s="75" t="str">
        <x:v>High; commercial methodology unavailable</x:v>
      </x:c>
      <x:c r="J35" s="75" t="str">
        <x:v>https://www.grandviewresearch.com/industry-analysis/contact-center-software-market</x:v>
      </x:c>
      <x:c r="K35" s="75" t="str">
        <x:v>Top-down market-size boundary</x:v>
      </x:c>
    </x:row>
    <x:row r="36" ht="52" customHeight="1">
      <x:c r="A36" s="75" t="str">
        <x:v>S35</x:v>
      </x:c>
      <x:c r="B36" s="75" t="str">
        <x:v>Help Desk Software Market</x:v>
      </x:c>
      <x:c r="C36" s="75" t="str">
        <x:v>Future Market Insights</x:v>
      </x:c>
      <x:c r="D36" s="75" t="str">
        <x:v>Commercial market estimate</x:v>
      </x:c>
      <x:c r="E36" s="75" t="str">
        <x:v>2025</x:v>
      </x:c>
      <x:c r="F36" s="75" t="str">
        <x:v>2026-09-10</x:v>
      </x:c>
      <x:c r="G36" s="75" t="str">
        <x:v>Global help-desk software definition</x:v>
      </x:c>
      <x:c r="H36" s="75" t="str">
        <x:v>Low-medium</x:v>
      </x:c>
      <x:c r="I36" s="75" t="str">
        <x:v>High; commercial methodology unavailable</x:v>
      </x:c>
      <x:c r="J36" s="75" t="str">
        <x:v>https://www.futuremarketinsights.com/reports/help-desk-software-market</x:v>
      </x:c>
      <x:c r="K36" s="75" t="str">
        <x:v>Top-down market-size boundary</x:v>
      </x:c>
    </x:row>
    <x:row r="37" ht="52" customHeight="1">
      <x:c r="A37" s="75" t="str">
        <x:v>S36</x:v>
      </x:c>
      <x:c r="B37" s="75" t="str">
        <x:v>G2 Pricing and Packaging</x:v>
      </x:c>
      <x:c r="C37" s="75" t="str">
        <x:v>G2</x:v>
      </x:c>
      <x:c r="D37" s="75" t="str">
        <x:v>Review-platform commercial documentation</x:v>
      </x:c>
      <x:c r="E37" s="75" t="str">
        <x:v>2025</x:v>
      </x:c>
      <x:c r="F37" s="75" t="str">
        <x:v>2026-09-10</x:v>
      </x:c>
      <x:c r="G37" s="75" t="str">
        <x:v>Review collection and incentive mechanisms</x:v>
      </x:c>
      <x:c r="H37" s="75" t="str">
        <x:v>Medium</x:v>
      </x:c>
      <x:c r="I37" s="75" t="str">
        <x:v>Medium; platform self-description</x:v>
      </x:c>
      <x:c r="J37" s="75" t="str">
        <x:v>https://sell.g2.com/hubfs/g2-pricing-guide.pdf</x:v>
      </x:c>
      <x:c r="K37" s="75" t="str">
        <x:v>Review-bias assessment</x:v>
      </x:c>
    </x:row>
    <x:row r="38" ht="52" customHeight="1">
      <x:c r="A38" s="75" t="str">
        <x:v>S37</x:v>
      </x:c>
      <x:c r="B38" s="75" t="str">
        <x:v>Building Buyer Trust: Review Quality Report</x:v>
      </x:c>
      <x:c r="C38" s="75" t="str">
        <x:v>TrustRadius</x:v>
      </x:c>
      <x:c r="D38" s="75" t="str">
        <x:v>Review-platform policy document</x:v>
      </x:c>
      <x:c r="E38" s="75" t="str">
        <x:v>2025</x:v>
      </x:c>
      <x:c r="F38" s="75" t="str">
        <x:v>2026-09-10</x:v>
      </x:c>
      <x:c r="G38" s="75" t="str">
        <x:v>Review integrity and site access policy</x:v>
      </x:c>
      <x:c r="H38" s="75" t="str">
        <x:v>Medium</x:v>
      </x:c>
      <x:c r="I38" s="75" t="str">
        <x:v>Medium; platform self-description</x:v>
      </x:c>
      <x:c r="J38" s="75" t="str">
        <x:v>https://go.trustradius.com/rs/827-FOI-687/images/TrustRadius_Building-Buyer-Trust_Review-Quality-Report_2025.pdf</x:v>
      </x:c>
      <x:c r="K38" s="75" t="str">
        <x:v>Ethical collection boundary</x:v>
      </x:c>
    </x:row>
    <x:row r="39" ht="52" customHeight="1">
      <x:c r="A39" s="75" t="str">
        <x:v>S38</x:v>
      </x:c>
      <x:c r="B39" s="75" t="str">
        <x:v>Freshworks Q4 2025 Earnings Call Transcript</x:v>
      </x:c>
      <x:c r="C39" s="75" t="str">
        <x:v>Freshworks investor relations</x:v>
      </x:c>
      <x:c r="D39" s="75" t="str">
        <x:v>Company operating disclosure</x:v>
      </x:c>
      <x:c r="E39" s="75" t="str">
        <x:v>2026-02-10</x:v>
      </x:c>
      <x:c r="F39" s="75" t="str">
        <x:v>2026-09-10</x:v>
      </x:c>
      <x:c r="G39" s="75" t="str">
        <x:v>Company-reported customer and ARR metrics</x:v>
      </x:c>
      <x:c r="H39" s="75" t="str">
        <x:v>Medium-high</x:v>
      </x:c>
      <x:c r="I39" s="75" t="str">
        <x:v>High; management-reported and unaudited transcript claims</x:v>
      </x:c>
      <x:c r="J39" s="75" t="str">
        <x:v>https://ir.freshworks.com/files/doc_earnings/2025/q4/transcript/Transcript-Q4-2025.pdf</x:v>
      </x:c>
      <x:c r="K39" s="75" t="str">
        <x:v>Commercial adoption signal</x:v>
      </x:c>
    </x:row>
    <x:row r="40" ht="52" customHeight="1">
      <x:c r="A40" s="75" t="str">
        <x:v>S39</x:v>
      </x:c>
      <x:c r="B40" s="75" t="str">
        <x:v>Generative AI at Work</x:v>
      </x:c>
      <x:c r="C40" s="75" t="str">
        <x:v>Quarterly Journal of Economics</x:v>
      </x:c>
      <x:c r="D40" s="75" t="str">
        <x:v>Peer-reviewed field study</x:v>
      </x:c>
      <x:c r="E40" s="75" t="str">
        <x:v>2025-02-04</x:v>
      </x:c>
      <x:c r="F40" s="75" t="str">
        <x:v>2026-09-10</x:v>
      </x:c>
      <x:c r="G40" s="75" t="str">
        <x:v>Staggered deployment across 5172 customer-support agents at a Fortune 500 software company</x:v>
      </x:c>
      <x:c r="H40" s="75" t="str">
        <x:v>High</x:v>
      </x:c>
      <x:c r="I40" s="75" t="str">
        <x:v>Medium; one company and non-random staggered rollout</x:v>
      </x:c>
      <x:c r="J40" s="75" t="str">
        <x:v>https://academic.oup.com/qje/article/140/2/889/7990658</x:v>
      </x:c>
      <x:c r="K40" s="75" t="str">
        <x:v>Agent productivity and heterogeneous effects</x:v>
      </x:c>
    </x:row>
    <x:row r="41" ht="52" customHeight="1">
      <x:c r="A41" s="75" t="str">
        <x:v>S40</x:v>
      </x:c>
      <x:c r="B41" s="75" t="str">
        <x:v>Generative AI in Action: Field Experimental Evidence from Alibaba's Customer Service Operations</x:v>
      </x:c>
      <x:c r="C41" s="75" t="str">
        <x:v>SSRN research authors</x:v>
      </x:c>
      <x:c r="D41" s="75" t="str">
        <x:v>Randomized field experiment preprint</x:v>
      </x:c>
      <x:c r="E41" s="75" t="str">
        <x:v>2026-07-31 revision</x:v>
      </x:c>
      <x:c r="F41" s="75" t="str">
        <x:v>2026-09-10</x:v>
      </x:c>
      <x:c r="G41" s="75" t="str">
        <x:v>Customer-service agents in e-commerce after-sales operations</x:v>
      </x:c>
      <x:c r="H41" s="75" t="str">
        <x:v>High</x:v>
      </x:c>
      <x:c r="I41" s="75" t="str">
        <x:v>Medium; one platform and preprint</x:v>
      </x:c>
      <x:c r="J41" s="75" t="str">
        <x:v>https://ssrn.com/abstract=5012601</x:v>
      </x:c>
      <x:c r="K41" s="75" t="str">
        <x:v>Service speed quality and workflow disruption</x:v>
      </x:c>
    </x:row>
    <x:row r="42" ht="52" customHeight="1">
      <x:c r="A42" s="75" t="str">
        <x:v>S41</x:v>
      </x:c>
      <x:c r="B42" s="75" t="str">
        <x:v>Engaging Customers with AI in Online Chats</x:v>
      </x:c>
      <x:c r="C42" s="75" t="str">
        <x:v>SSRN research authors</x:v>
      </x:c>
      <x:c r="D42" s="75" t="str">
        <x:v>Randomized field experiment preprint</x:v>
      </x:c>
      <x:c r="E42" s="75" t="str">
        <x:v>2025-10-04 revision</x:v>
      </x:c>
      <x:c r="F42" s="75" t="str">
        <x:v>2026-09-10</x:v>
      </x:c>
      <x:c r="G42" s="75" t="str">
        <x:v>Meal-delivery customer-service chats with AI-generated agent suggestions</x:v>
      </x:c>
      <x:c r="H42" s="75" t="str">
        <x:v>High</x:v>
      </x:c>
      <x:c r="I42" s="75" t="str">
        <x:v>Medium; one company and preprint</x:v>
      </x:c>
      <x:c r="J42" s="75" t="str">
        <x:v>https://ssrn.com/abstract=5173181</x:v>
      </x:c>
      <x:c r="K42" s="75" t="str">
        <x:v>Conversation context and chatbot spillover</x:v>
      </x:c>
    </x:row>
    <x:row r="43" ht="52" customHeight="1">
      <x:c r="A43" s="75" t="str">
        <x:v>S42</x:v>
      </x:c>
      <x:c r="B43" s="75" t="str">
        <x:v>Can LLM Chatbots Replace Flow-Driven Chatbots in Customer Service?</x:v>
      </x:c>
      <x:c r="C43" s="75" t="str">
        <x:v>SSRN research authors</x:v>
      </x:c>
      <x:c r="D43" s="75" t="str">
        <x:v>Five-month field experiment preprint</x:v>
      </x:c>
      <x:c r="E43" s="75" t="str">
        <x:v>2025-04-02</x:v>
      </x:c>
      <x:c r="F43" s="75" t="str">
        <x:v>2026-09-10</x:v>
      </x:c>
      <x:c r="G43" s="75" t="str">
        <x:v>Customer-service chatbot comparison over five months</x:v>
      </x:c>
      <x:c r="H43" s="75" t="str">
        <x:v>High</x:v>
      </x:c>
      <x:c r="I43" s="75" t="str">
        <x:v>Medium; one setting and preprint</x:v>
      </x:c>
      <x:c r="J43" s="75" t="str">
        <x:v>https://ssrn.com/abstract=5223645</x:v>
      </x:c>
      <x:c r="K43" s="75" t="str">
        <x:v>Hybrid architecture and backend-action limits</x:v>
      </x:c>
    </x:row>
    <x:row r="44" ht="52" customHeight="1">
      <x:c r="A44" s="75" t="str">
        <x:v>S43</x:v>
      </x:c>
      <x:c r="B44" s="75" t="str">
        <x:v>Customer Service Representative's Perception of the AI Assistant in an Organization's Call Center</x:v>
      </x:c>
      <x:c r="C44" s="75" t="str">
        <x:v>arXiv research authors</x:v>
      </x:c>
      <x:c r="D44" s="75" t="str">
        <x:v>Qualitative field study</x:v>
      </x:c>
      <x:c r="E44" s="75" t="str">
        <x:v>2025-07-01</x:v>
      </x:c>
      <x:c r="F44" s="75" t="str">
        <x:v>2026-09-10</x:v>
      </x:c>
      <x:c r="G44" s="75" t="str">
        <x:v>Field visit and semi-structured interviews with 13 customer-service representatives</x:v>
      </x:c>
      <x:c r="H44" s="75" t="str">
        <x:v>Medium-high</x:v>
      </x:c>
      <x:c r="I44" s="75" t="str">
        <x:v>Medium; small sample in one power-grid call center</x:v>
      </x:c>
      <x:c r="J44" s="75" t="str">
        <x:v>https://arxiv.org/abs/2507.00513</x:v>
      </x:c>
      <x:c r="K44" s="75" t="str">
        <x:v>Agent benefit and new work burdens</x:v>
      </x:c>
    </x:row>
    <x:row r="45" ht="52" customHeight="1">
      <x:c r="A45" s="75" t="str">
        <x:v>S44</x:v>
      </x:c>
      <x:c r="B45" s="75" t="str">
        <x:v>2025 Customer Experience Annual Insights Report</x:v>
      </x:c>
      <x:c r="C45" s="75" t="str">
        <x:v>Verizon Business and Longitude</x:v>
      </x:c>
      <x:c r="D45" s="75" t="str">
        <x:v>Vendor-sponsored global survey</x:v>
      </x:c>
      <x:c r="E45" s="75" t="str">
        <x:v>2025-08-13</x:v>
      </x:c>
      <x:c r="F45" s="75" t="str">
        <x:v>2026-09-10</x:v>
      </x:c>
      <x:c r="G45" s="75" t="str">
        <x:v>5000 consumers and 500 executives across seven countries</x:v>
      </x:c>
      <x:c r="H45" s="75" t="str">
        <x:v>Medium-high</x:v>
      </x:c>
      <x:c r="I45" s="75" t="str">
        <x:v>High; vendor-sponsored and broad consumer scope</x:v>
      </x:c>
      <x:c r="J45" s="75" t="str">
        <x:v>https://www.verizon.com/business/resources/reports/cx-annual-insights/</x:v>
      </x:c>
      <x:c r="K45" s="75" t="str">
        <x:v>Human versus AI satisfaction privacy and measurement</x:v>
      </x:c>
    </x:row>
    <x:row r="46" ht="52" customHeight="1">
      <x:c r="A46" s="75" t="str">
        <x:v>S45</x:v>
      </x:c>
      <x:c r="B46" s="75" t="str">
        <x:v>Building Trust: How Customer Care Leaders Pull Ahead with AI</x:v>
      </x:c>
      <x:c r="C46" s="75" t="str">
        <x:v>McKinsey</x:v>
      </x:c>
      <x:c r="D46" s="75" t="str">
        <x:v>Consulting survey and analysis</x:v>
      </x:c>
      <x:c r="E46" s="75" t="str">
        <x:v>2026-02-23</x:v>
      </x:c>
      <x:c r="F46" s="75" t="str">
        <x:v>2026-09-10</x:v>
      </x:c>
      <x:c r="G46" s="75" t="str">
        <x:v>440 customer-care leaders and executives across geographies</x:v>
      </x:c>
      <x:c r="H46" s="75" t="str">
        <x:v>Medium-high</x:v>
      </x:c>
      <x:c r="I46" s="75" t="str">
        <x:v>Medium-high; consulting maturity model and self-reported outcomes</x:v>
      </x:c>
      <x:c r="J46" s="75" t="str">
        <x:v>https://www.mckinsey.com/capabilities/operations/our-insights/building-trust-how-customer-care-leaders-pull-ahead-with-ai</x:v>
      </x:c>
      <x:c r="K46" s="75" t="str">
        <x:v>Maturity fragmentation and scaled adoption</x:v>
      </x:c>
    </x:row>
    <x:row r="47" ht="52" customHeight="1">
      <x:c r="A47" s="75" t="str">
        <x:v>S46</x:v>
      </x:c>
      <x:c r="B47" s="75" t="str">
        <x:v>State of Service: AI Agents Edition</x:v>
      </x:c>
      <x:c r="C47" s="75" t="str">
        <x:v>Salesforce</x:v>
      </x:c>
      <x:c r="D47" s="75" t="str">
        <x:v>Vendor-sponsored global survey</x:v>
      </x:c>
      <x:c r="E47" s="75" t="str">
        <x:v>2026-05-20</x:v>
      </x:c>
      <x:c r="F47" s="75" t="str">
        <x:v>2026-09-10</x:v>
      </x:c>
      <x:c r="G47" s="75" t="str">
        <x:v>3075 service professionals across four regions; double-anonymous survey March-April 2026</x:v>
      </x:c>
      <x:c r="H47" s="75" t="str">
        <x:v>Medium-high</x:v>
      </x:c>
      <x:c r="I47" s="75" t="str">
        <x:v>High; vendor-sponsored and adoption claims are self-reported</x:v>
      </x:c>
      <x:c r="J47" s="75" t="str">
        <x:v>https://www.salesforce.com/news/stories/ai-service-agents-improve-customer-satisfaction/</x:v>
      </x:c>
      <x:c r="K47" s="75" t="str">
        <x:v>Adoption value timing data readiness and trust gap</x:v>
      </x:c>
    </x:row>
    <x:row r="48" ht="52" customHeight="1">
      <x:c r="A48" s="75" t="str">
        <x:v>S47</x:v>
      </x:c>
      <x:c r="B48" s="75" t="str">
        <x:v>Intercom Reviews</x:v>
      </x:c>
      <x:c r="C48" s="75" t="str">
        <x:v>Capterra</x:v>
      </x:c>
      <x:c r="D48" s="75" t="str">
        <x:v>Verified-review aggregate and selected reviews</x:v>
      </x:c>
      <x:c r="E48" s="75" t="str">
        <x:v>2026-08-26</x:v>
      </x:c>
      <x:c r="F48" s="75" t="str">
        <x:v>2026-09-10</x:v>
      </x:c>
      <x:c r="G48" s="75" t="str">
        <x:v>1135 reviews including role company size and incentive status</x:v>
      </x:c>
      <x:c r="H48" s="75" t="str">
        <x:v>Medium-high</x:v>
      </x:c>
      <x:c r="I48" s="75" t="str">
        <x:v>Medium-high; commercial review platform and mixed incentives</x:v>
      </x:c>
      <x:c r="J48" s="75" t="str">
        <x:v>https://www.capterra.com/p/134347/Intercom/reviews/</x:v>
      </x:c>
      <x:c r="K48" s="75" t="str">
        <x:v>Intercom strengths integration gaps and pricing</x:v>
      </x:c>
    </x:row>
    <x:row r="49" ht="52" customHeight="1">
      <x:c r="A49" s="75" t="str">
        <x:v>S48</x:v>
      </x:c>
      <x:c r="B49" s="75" t="str">
        <x:v>Are You Using AI for Any Customer Success Tasks?</x:v>
      </x:c>
      <x:c r="C49" s="75" t="str">
        <x:v>Reddit CustomerSuccess</x:v>
      </x:c>
      <x:c r="D49" s="75" t="str">
        <x:v>Anonymous community discussion</x:v>
      </x:c>
      <x:c r="E49" s="75" t="str">
        <x:v>2025</x:v>
      </x:c>
      <x:c r="F49" s="75" t="str">
        <x:v>2026-09-10</x:v>
      </x:c>
      <x:c r="G49" s="75" t="str">
        <x:v>One discussion with practitioner-style examples and vendor participation</x:v>
      </x:c>
      <x:c r="H49" s="75" t="str">
        <x:v>Low</x:v>
      </x:c>
      <x:c r="I49" s="75" t="str">
        <x:v>Very high; anonymous claims and self-promotion present</x:v>
      </x:c>
      <x:c r="J49" s="75" t="str">
        <x:v>https://www.reddit.com/r/CustomerSuccess/comments/1kzon99/are_you_using_ai_for_any_cs_tasks/</x:v>
      </x:c>
      <x:c r="K49" s="75" t="str">
        <x:v>Current AI workflows and workarounds</x:v>
      </x:c>
    </x:row>
    <x:row r="50" ht="52" customHeight="1">
      <x:c r="A50" s="75" t="str">
        <x:v>S49</x:v>
      </x:c>
      <x:c r="B50" s="75" t="str">
        <x:v>Use Slack as a Customer Success Platform?</x:v>
      </x:c>
      <x:c r="C50" s="75" t="str">
        <x:v>Reddit CustomerSuccess</x:v>
      </x:c>
      <x:c r="D50" s="75" t="str">
        <x:v>Anonymous community discussion</x:v>
      </x:c>
      <x:c r="E50" s="75" t="str">
        <x:v>2026-03-05</x:v>
      </x:c>
      <x:c r="F50" s="75" t="str">
        <x:v>2026-09-10</x:v>
      </x:c>
      <x:c r="G50" s="75" t="str">
        <x:v>One original post and public replies</x:v>
      </x:c>
      <x:c r="H50" s="75" t="str">
        <x:v>Low</x:v>
      </x:c>
      <x:c r="I50" s="75" t="str">
        <x:v>Very high; anonymous and vendor promotion present</x:v>
      </x:c>
      <x:c r="J50" s="75" t="str">
        <x:v>https://www.reddit.com/r/CustomerSuccess/comments/1rltfs2/use_slack_as_csp/</x:v>
      </x:c>
      <x:c r="K50" s="75" t="str">
        <x:v>Platform adoption and silo avoidance</x:v>
      </x:c>
    </x:row>
    <x:row r="51" ht="52" customHeight="1">
      <x:c r="A51" s="75" t="str">
        <x:v>S50</x:v>
      </x:c>
      <x:c r="B51" s="75" t="str">
        <x:v>Salesforce or HubSpot for Customer Success?</x:v>
      </x:c>
      <x:c r="C51" s="75" t="str">
        <x:v>Reddit CustomerSuccess</x:v>
      </x:c>
      <x:c r="D51" s="75" t="str">
        <x:v>Anonymous community discussion</x:v>
      </x:c>
      <x:c r="E51" s="75" t="str">
        <x:v>2025</x:v>
      </x:c>
      <x:c r="F51" s="75" t="str">
        <x:v>2026-09-10</x:v>
      </x:c>
      <x:c r="G51" s="75" t="str">
        <x:v>One original post and public replies</x:v>
      </x:c>
      <x:c r="H51" s="75" t="str">
        <x:v>Low</x:v>
      </x:c>
      <x:c r="I51" s="75" t="str">
        <x:v>Very high; anonymous and vendor promotion present</x:v>
      </x:c>
      <x:c r="J51" s="75" t="str">
        <x:v>https://www.reddit.com/r/CustomerSuccess/comments/1kayfio/salesforce_or_hubspot_for_cs_something_else/</x:v>
      </x:c>
      <x:c r="K51" s="75" t="str">
        <x:v>Context switching and holistic account view</x:v>
      </x:c>
    </x:row>
    <x:row r="52" ht="52" customHeight="1">
      <x:c r="A52" s="75" t="str">
        <x:v>S51</x:v>
      </x:c>
      <x:c r="B52" s="75" t="str">
        <x:v>How Did You Automate the Most Boring Parts of Being a CSM?</x:v>
      </x:c>
      <x:c r="C52" s="75" t="str">
        <x:v>Reddit CustomerSuccess</x:v>
      </x:c>
      <x:c r="D52" s="75" t="str">
        <x:v>Anonymous community discussion</x:v>
      </x:c>
      <x:c r="E52" s="75" t="str">
        <x:v>2024</x:v>
      </x:c>
      <x:c r="F52" s="75" t="str">
        <x:v>2026-09-10</x:v>
      </x:c>
      <x:c r="G52" s="75" t="str">
        <x:v>One original post and public replies over multiple years</x:v>
      </x:c>
      <x:c r="H52" s="75" t="str">
        <x:v>Low</x:v>
      </x:c>
      <x:c r="I52" s="75" t="str">
        <x:v>Very high; anonymous claims and vendor promotion present</x:v>
      </x:c>
      <x:c r="J52" s="75" t="str">
        <x:v>https://www.reddit.com/r/CustomerSuccess/comments/1adtiq8/how_did_you_automate_the_most_boring_parts_of/</x:v>
      </x:c>
      <x:c r="K52" s="75" t="str">
        <x:v>Data quality documentation and automation boundaries</x:v>
      </x:c>
    </x:row>
    <x:row r="53" ht="52" customHeight="1">
      <x:c r="A53" s="75" t="str">
        <x:v>S52</x:v>
      </x:c>
      <x:c r="B53" s="75" t="str">
        <x:v>Zendesk to Jira Integration That's Easy to Use?</x:v>
      </x:c>
      <x:c r="C53" s="75" t="str">
        <x:v>Reddit Zendesk</x:v>
      </x:c>
      <x:c r="D53" s="75" t="str">
        <x:v>Anonymous community discussion</x:v>
      </x:c>
      <x:c r="E53" s="75" t="str">
        <x:v>2025-11-01</x:v>
      </x:c>
      <x:c r="F53" s="75" t="str">
        <x:v>2026-09-10</x:v>
      </x:c>
      <x:c r="G53" s="75" t="str">
        <x:v>Support-to-engineering workflow discussion</x:v>
      </x:c>
      <x:c r="H53" s="75" t="str">
        <x:v>Low</x:v>
      </x:c>
      <x:c r="I53" s="75" t="str">
        <x:v>Very high; anonymous and connector vendors present</x:v>
      </x:c>
      <x:c r="J53" s="75" t="str">
        <x:v>https://www.reddit.com/r/Zendesk/comments/1oljul9/zendesk_to_jira_integration_thats_easy_to_use/</x:v>
      </x:c>
      <x:c r="K53" s="75" t="str">
        <x:v>Bidirectional support and engineering handoff</x:v>
      </x:c>
    </x:row>
    <x:row r="54" ht="52" customHeight="1">
      <x:c r="A54" s="75" t="str">
        <x:v>S53</x:v>
      </x:c>
      <x:c r="B54" s="75" t="str">
        <x:v>Zendesk and Jira Legacy Integration</x:v>
      </x:c>
      <x:c r="C54" s="75" t="str">
        <x:v>Reddit Zendesk</x:v>
      </x:c>
      <x:c r="D54" s="75" t="str">
        <x:v>Anonymous community discussion</x:v>
      </x:c>
      <x:c r="E54" s="75" t="str">
        <x:v>2026-08-19</x:v>
      </x:c>
      <x:c r="F54" s="75" t="str">
        <x:v>2026-09-10</x:v>
      </x:c>
      <x:c r="G54" s="75" t="str">
        <x:v>Current user reports about integration deprecation and reinstall failure</x:v>
      </x:c>
      <x:c r="H54" s="75" t="str">
        <x:v>Low</x:v>
      </x:c>
      <x:c r="I54" s="75" t="str">
        <x:v>High; anonymous and not independently reproduced</x:v>
      </x:c>
      <x:c r="J54" s="75" t="str">
        <x:v>https://www.reddit.com/r/Zendesk/comments/1vskiuf/zendesk_and_jira_i_guess_legacy_integration/</x:v>
      </x:c>
      <x:c r="K54" s="75" t="str">
        <x:v>Connector durability and deprecation risk</x:v>
      </x:c>
    </x:row>
    <x:row r="55" ht="52" customHeight="1">
      <x:c r="A55" s="75" t="str">
        <x:v>S54</x:v>
      </x:c>
      <x:c r="B55" s="75" t="str">
        <x:v>Auto-Create Zendesk Tickets from Bot Messages in Slack</x:v>
      </x:c>
      <x:c r="C55" s="75" t="str">
        <x:v>Reddit Zendesk</x:v>
      </x:c>
      <x:c r="D55" s="75" t="str">
        <x:v>Anonymous community discussion</x:v>
      </x:c>
      <x:c r="E55" s="75" t="str">
        <x:v>2026-08-17</x:v>
      </x:c>
      <x:c r="F55" s="75" t="str">
        <x:v>2026-09-10</x:v>
      </x:c>
      <x:c r="G55" s="75" t="str">
        <x:v>One Slack-to-Zendesk automation edge case and technical replies</x:v>
      </x:c>
      <x:c r="H55" s="75" t="str">
        <x:v>Low</x:v>
      </x:c>
      <x:c r="I55" s="75" t="str">
        <x:v>High; anonymous and solution not independently tested</x:v>
      </x:c>
      <x:c r="J55" s="75" t="str">
        <x:v>https://www.reddit.com/r/Zendesk/comments/1vqrzh9/anyone_found_a_good_way_to_autocreate_zendesk/</x:v>
      </x:c>
      <x:c r="K55" s="75" t="str">
        <x:v>Automation edge cases and trusted applications</x:v>
      </x:c>
    </x:row>
    <x:row r="56" ht="52" customHeight="1">
      <x:c r="A56" s="75" t="str">
        <x:v>S55</x:v>
      </x:c>
      <x:c r="B56" s="75" t="str">
        <x:v>AI Support Is Cutting Costs but Hurting Critical Moments</x:v>
      </x:c>
      <x:c r="C56" s="75" t="str">
        <x:v>Reddit customerexperience</x:v>
      </x:c>
      <x:c r="D56" s="75" t="str">
        <x:v>Anonymous community discussion</x:v>
      </x:c>
      <x:c r="E56" s="75" t="str">
        <x:v>2026-06-23</x:v>
      </x:c>
      <x:c r="F56" s="75" t="str">
        <x:v>2026-09-10</x:v>
      </x:c>
      <x:c r="G56" s="75" t="str">
        <x:v>One discussion about AI failures handoff and context</x:v>
      </x:c>
      <x:c r="H56" s="75" t="str">
        <x:v>Low</x:v>
      </x:c>
      <x:c r="I56" s="75" t="str">
        <x:v>Very high; anonymous claims and uncited headline statistic</x:v>
      </x:c>
      <x:c r="J56" s="75" t="str">
        <x:v>https://www.reddit.com/r/customerexperience/comments/1ud82vo/ai_support_is_cutting_costs_but_quietly_wrecking/</x:v>
      </x:c>
      <x:c r="K56" s="75" t="str">
        <x:v>Handoff quality and customer frustration</x:v>
      </x:c>
    </x:row>
    <x:row r="57" ht="52" customHeight="1">
      <x:c r="A57" s="75" t="str">
        <x:v>S56</x:v>
      </x:c>
      <x:c r="B57" s="75" t="str">
        <x:v>Launch HN: Unthread - Customer Support Entirely Within Slack</x:v>
      </x:c>
      <x:c r="C57" s="75" t="str">
        <x:v>Hacker News</x:v>
      </x:c>
      <x:c r="D57" s="75" t="str">
        <x:v>Founder case and public discussion</x:v>
      </x:c>
      <x:c r="E57" s="75" t="str">
        <x:v>2022-11-14</x:v>
      </x:c>
      <x:c r="F57" s="75" t="str">
        <x:v>2026-09-10</x:v>
      </x:c>
      <x:c r="G57" s="75" t="str">
        <x:v>81 points and 56 comments at access; B2B Slack support workflow</x:v>
      </x:c>
      <x:c r="H57" s="75" t="str">
        <x:v>Low-medium</x:v>
      </x:c>
      <x:c r="I57" s="75" t="str">
        <x:v>High; launch post is commercial and comments are self-selected</x:v>
      </x:c>
      <x:c r="J57" s="75" t="str">
        <x:v>https://news.ycombinator.com/item?id=33593456</x:v>
      </x:c>
      <x:c r="K57" s="75" t="str">
        <x:v>Slack request tracking ownership and escalation</x:v>
      </x:c>
    </x:row>
    <x:row r="58" ht="52" customHeight="1">
      <x:c r="A58" s="75" t="str">
        <x:v>S57</x:v>
      </x:c>
      <x:c r="B58" s="75" t="str">
        <x:v>Ask HN: Will Low-Quality AI Customer Support Be the New Normal?</x:v>
      </x:c>
      <x:c r="C58" s="75" t="str">
        <x:v>Hacker News</x:v>
      </x:c>
      <x:c r="D58" s="75" t="str">
        <x:v>Anonymous public discussion</x:v>
      </x:c>
      <x:c r="E58" s="75" t="str">
        <x:v>2026</x:v>
      </x:c>
      <x:c r="F58" s="75" t="str">
        <x:v>2026-09-10</x:v>
      </x:c>
      <x:c r="G58" s="75" t="str">
        <x:v>27 points and 32 comments at access</x:v>
      </x:c>
      <x:c r="H58" s="75" t="str">
        <x:v>Low</x:v>
      </x:c>
      <x:c r="I58" s="75" t="str">
        <x:v>Very high; anonymous consumer anecdotes</x:v>
      </x:c>
      <x:c r="J58" s="75" t="str">
        <x:v>https://news.ycombinator.com/item?id=48087925</x:v>
      </x:c>
      <x:c r="K58" s="75" t="str">
        <x:v>Bot loops human access and consumer frustration</x:v>
      </x:c>
    </x:row>
    <x:row r="59" ht="52" customHeight="1">
      <x:c r="A59" s="75" t="str">
        <x:v>S58</x:v>
      </x:c>
      <x:c r="B59" s="75" t="str">
        <x:v>Intercom Changes Name to Fin</x:v>
      </x:c>
      <x:c r="C59" s="75" t="str">
        <x:v>Hacker News</x:v>
      </x:c>
      <x:c r="D59" s="75" t="str">
        <x:v>Public discussion of company announcement</x:v>
      </x:c>
      <x:c r="E59" s="75" t="str">
        <x:v>2026</x:v>
      </x:c>
      <x:c r="F59" s="75" t="str">
        <x:v>2026-09-10</x:v>
      </x:c>
      <x:c r="G59" s="75" t="str">
        <x:v>24 points and 39 comments at access</x:v>
      </x:c>
      <x:c r="H59" s="75" t="str">
        <x:v>Low</x:v>
      </x:c>
      <x:c r="I59" s="75" t="str">
        <x:v>Very high; anonymous discussion and some commercial interests</x:v>
      </x:c>
      <x:c r="J59" s="75" t="str">
        <x:v>https://news.ycombinator.com/item?id=48128842</x:v>
      </x:c>
      <x:c r="K59" s="75" t="str">
        <x:v>Human-AI division of work and context quality</x:v>
      </x:c>
    </x:row>
    <x:row r="60" ht="52" customHeight="1">
      <x:c r="A60" s="75" t="str">
        <x:v>S59</x:v>
      </x:c>
      <x:c r="B60" s="75" t="str">
        <x:v>Salesforce to Acquire Fin Discussion</x:v>
      </x:c>
      <x:c r="C60" s="75" t="str">
        <x:v>Hacker News</x:v>
      </x:c>
      <x:c r="D60" s="75" t="str">
        <x:v>Large public discussion</x:v>
      </x:c>
      <x:c r="E60" s="75" t="str">
        <x:v>2026</x:v>
      </x:c>
      <x:c r="F60" s="75" t="str">
        <x:v>2026-09-10</x:v>
      </x:c>
      <x:c r="G60" s="75" t="str">
        <x:v>327 points and 241 comments at access</x:v>
      </x:c>
      <x:c r="H60" s="75" t="str">
        <x:v>Low-medium</x:v>
      </x:c>
      <x:c r="I60" s="75" t="str">
        <x:v>Very high; anonymous mixed consumer and builder anecdotes</x:v>
      </x:c>
      <x:c r="J60" s="75" t="str">
        <x:v>https://news.ycombinator.com/item?id=48540126</x:v>
      </x:c>
      <x:c r="K60" s="75" t="str">
        <x:v>AI support capability limits context and actions</x:v>
      </x:c>
    </x:row>
    <x:row r="61" ht="52" customHeight="1">
      <x:c r="A61" s="75" t="str">
        <x:v>S60</x:v>
      </x:c>
      <x:c r="B61" s="75" t="str">
        <x:v>Zendesk Suite Reviews</x:v>
      </x:c>
      <x:c r="C61" s="75" t="str">
        <x:v>Capterra</x:v>
      </x:c>
      <x:c r="D61" s="75" t="str">
        <x:v>Verified-review aggregate and selected reviews</x:v>
      </x:c>
      <x:c r="E61" s="75" t="str">
        <x:v>2026</x:v>
      </x:c>
      <x:c r="F61" s="75" t="str">
        <x:v>2026-09-10</x:v>
      </x:c>
      <x:c r="G61" s="75" t="str">
        <x:v>4090 reviews across roles company sizes and incentive types</x:v>
      </x:c>
      <x:c r="H61" s="75" t="str">
        <x:v>Medium-high</x:v>
      </x:c>
      <x:c r="I61" s="75" t="str">
        <x:v>Medium-high; commercial review platform and mixed incentives</x:v>
      </x:c>
      <x:c r="J61" s="75" t="str">
        <x:v>https://www.capterra.com/p/164283/Zendesk/reviews/</x:v>
      </x:c>
      <x:c r="K61" s="75" t="str">
        <x:v>Centralization usability integration and complexity</x:v>
      </x:c>
    </x:row>
    <x:row r="62" ht="52" customHeight="1">
      <x:c r="A62" s="75" t="str">
        <x:v>S61</x:v>
      </x:c>
      <x:c r="B62" s="75" t="str">
        <x:v>The Best AI Use Case in Customer Success Might Be Escalation Hygiene</x:v>
      </x:c>
      <x:c r="C62" s="75" t="str">
        <x:v>Reddit CustomerSuccess</x:v>
      </x:c>
      <x:c r="D62" s="75" t="str">
        <x:v>Anonymous community discussion</x:v>
      </x:c>
      <x:c r="E62" s="75" t="str">
        <x:v>2026-06-26</x:v>
      </x:c>
      <x:c r="F62" s="75" t="str">
        <x:v>2026-09-10</x:v>
      </x:c>
      <x:c r="G62" s="75" t="str">
        <x:v>One original post and public replies</x:v>
      </x:c>
      <x:c r="H62" s="75" t="str">
        <x:v>Low</x:v>
      </x:c>
      <x:c r="I62" s="75" t="str">
        <x:v>Very high; anonymous and possible synthetic or promotional content</x:v>
      </x:c>
      <x:c r="J62" s="75" t="str">
        <x:v>https://www.reddit.com/r/CustomerSuccess/comments/1ughwlb/the_best_ai_use_case_in_cs_might_be_escalation/</x:v>
      </x:c>
      <x:c r="K62" s="75" t="str">
        <x:v>Escalation context ownership and internal assistance</x:v>
      </x:c>
    </x:row>
    <x:row r="63" ht="52" customHeight="1">
      <x:c r="A63" s="75" t="str">
        <x:v>S62</x:v>
      </x:c>
      <x:c r="B63" s="75" t="str">
        <x:v>What Tools Do You Manage Customers With?</x:v>
      </x:c>
      <x:c r="C63" s="75" t="str">
        <x:v>Reddit CustomerSuccess</x:v>
      </x:c>
      <x:c r="D63" s="75" t="str">
        <x:v>Anonymous community discussion</x:v>
      </x:c>
      <x:c r="E63" s="75" t="str">
        <x:v>2025-01</x:v>
      </x:c>
      <x:c r="F63" s="75" t="str">
        <x:v>2026-09-10</x:v>
      </x:c>
      <x:c r="G63" s="75" t="str">
        <x:v>One original post and public replies</x:v>
      </x:c>
      <x:c r="H63" s="75" t="str">
        <x:v>Low</x:v>
      </x:c>
      <x:c r="I63" s="75" t="str">
        <x:v>Very high; anonymous and substantial vendor promotion</x:v>
      </x:c>
      <x:c r="J63" s="75" t="str">
        <x:v>https://www.reddit.com/r/CustomerSuccess/comments/1i923o1/what_tools_do_you_manage_customers_with/</x:v>
      </x:c>
      <x:c r="K63" s="75" t="str">
        <x:v>Manual customer-success workarounds</x:v>
      </x:c>
    </x:row>
    <x:row r="64" ht="52" customHeight="1">
      <x:c r="A64" s="75" t="str">
        <x:v>S63</x:v>
      </x:c>
      <x:c r="B64" s="75" t="str">
        <x:v>What Software Does Your Team Use?</x:v>
      </x:c>
      <x:c r="C64" s="75" t="str">
        <x:v>Reddit CustomerSuccess</x:v>
      </x:c>
      <x:c r="D64" s="75" t="str">
        <x:v>Anonymous community discussion</x:v>
      </x:c>
      <x:c r="E64" s="75" t="str">
        <x:v>2025</x:v>
      </x:c>
      <x:c r="F64" s="75" t="str">
        <x:v>2026-09-10</x:v>
      </x:c>
      <x:c r="G64" s="75" t="str">
        <x:v>Practitioner stack discussion</x:v>
      </x:c>
      <x:c r="H64" s="75" t="str">
        <x:v>Low</x:v>
      </x:c>
      <x:c r="I64" s="75" t="str">
        <x:v>Very high; anonymous and self-selected</x:v>
      </x:c>
      <x:c r="J64" s="75" t="str">
        <x:v>https://www.reddit.com/r/CustomerSuccess/comments/1mjhgh1/what_software_does_your_team_use/</x:v>
      </x:c>
      <x:c r="K64" s="75" t="str">
        <x:v>Tool fragmentation and custom dashboards</x:v>
      </x:c>
    </x:row>
    <x:row r="65" ht="52" customHeight="1">
      <x:c r="A65" s="75" t="str">
        <x:v>S64</x:v>
      </x:c>
      <x:c r="B65" s="75" t="str">
        <x:v>AI Customer Support Is Actually Good Now?</x:v>
      </x:c>
      <x:c r="C65" s="75" t="str">
        <x:v>Reddit CustomerSuccess</x:v>
      </x:c>
      <x:c r="D65" s="75" t="str">
        <x:v>Anonymous community discussion</x:v>
      </x:c>
      <x:c r="E65" s="75" t="str">
        <x:v>2025-11</x:v>
      </x:c>
      <x:c r="F65" s="75" t="str">
        <x:v>2026-09-10</x:v>
      </x:c>
      <x:c r="G65" s="75" t="str">
        <x:v>One original post and public replies</x:v>
      </x:c>
      <x:c r="H65" s="75" t="str">
        <x:v>Low</x:v>
      </x:c>
      <x:c r="I65" s="75" t="str">
        <x:v>Very high; anonymous and product promotion present</x:v>
      </x:c>
      <x:c r="J65" s="75" t="str">
        <x:v>https://www.reddit.com/r/CustomerSuccess/comments/1opz3cv/ai_customer_support_is_actually_good_now/</x:v>
      </x:c>
      <x:c r="K65" s="75" t="str">
        <x:v>Knowledge quality and handoff</x:v>
      </x:c>
    </x:row>
    <x:row r="66" ht="52" customHeight="1">
      <x:c r="A66" s="75" t="str">
        <x:v>S65</x:v>
      </x:c>
      <x:c r="B66" s="75" t="str">
        <x:v>Do Not Blindly Switch to AI Customer Support</x:v>
      </x:c>
      <x:c r="C66" s="75" t="str">
        <x:v>Reddit CustomerSuccess</x:v>
      </x:c>
      <x:c r="D66" s="75" t="str">
        <x:v>Anonymous community discussion</x:v>
      </x:c>
      <x:c r="E66" s="75" t="str">
        <x:v>2025-11</x:v>
      </x:c>
      <x:c r="F66" s="75" t="str">
        <x:v>2026-09-10</x:v>
      </x:c>
      <x:c r="G66" s="75" t="str">
        <x:v>One cautionary post and public replies</x:v>
      </x:c>
      <x:c r="H66" s="75" t="str">
        <x:v>Low</x:v>
      </x:c>
      <x:c r="I66" s="75" t="str">
        <x:v>Very high; anonymous and product promotion present</x:v>
      </x:c>
      <x:c r="J66" s="75" t="str">
        <x:v>https://www.reddit.com/r/CustomerSuccess/comments/1ohk6ro/do_not_blindly_switch_to_ai_customer_support_in/</x:v>
      </x:c>
      <x:c r="K66" s="75" t="str">
        <x:v>Workflow mapping and narrow automation</x:v>
      </x:c>
    </x:row>
  </x:sheetData>
  <x:pageMargins left="0.7" right="0.7" top="0.75" bottom="0.75" header="0.3" footer="0.3"/>
  <x:tableParts count="1">
    <x:tablePart xmlns:r="http://schemas.openxmlformats.org/officeDocument/2006/relationships" r:id="Rbbd31954611d45b6"/>
  </x:tableParts>
</x:worksheet>
</file>

<file path=xl/worksheets/sheet5.xml><?xml version="1.0" encoding="utf-8"?>
<x:worksheet xmlns:x="http://schemas.openxmlformats.org/spreadsheetml/2006/main">
  <x:sheetPr>
    <x:tabColor rgb="FF17324D"/>
  </x:sheetPr>
  <x:sheetViews>
    <x:sheetView showGridLines="0" workbookViewId="0"/>
  </x:sheetViews>
  <x:sheetFormatPr defaultRowHeight="15"/>
  <x:cols>
    <x:col min="1" max="1" width="18" hidden="0" customWidth="1"/>
    <x:col min="2" max="2" width="14" hidden="0" customWidth="1"/>
    <x:col min="3" max="3" width="14" hidden="0" customWidth="1"/>
    <x:col min="4" max="4" width="16" hidden="0" customWidth="1"/>
    <x:col min="5" max="5" width="14" hidden="0" customWidth="1"/>
    <x:col min="6" max="6" width="14" hidden="0" customWidth="1"/>
    <x:col min="7" max="7" width="20" hidden="0" customWidth="1"/>
    <x:col min="8" max="8" width="14" hidden="0" customWidth="1"/>
    <x:col min="9" max="9" width="14" hidden="0" customWidth="1"/>
    <x:col min="10" max="10" width="18" hidden="0" customWidth="1"/>
    <x:col min="11" max="11" width="14" hidden="0" customWidth="1"/>
    <x:col min="12" max="12" width="14" hidden="0" customWidth="1"/>
  </x:cols>
  <x:sheetData>
    <x:row r="1" ht="12" customHeight="1">
      <x:c r="A1" s="91"/>
      <x:c r="B1" s="91"/>
      <x:c r="C1" s="91"/>
      <x:c r="D1" s="91"/>
      <x:c r="E1" s="91"/>
      <x:c r="F1" s="91"/>
      <x:c r="G1" s="91"/>
      <x:c r="H1" s="91"/>
      <x:c r="I1" s="91"/>
      <x:c r="J1" s="91"/>
      <x:c r="K1" s="91"/>
      <x:c r="L1" s="91"/>
    </x:row>
    <x:row r="2" ht="28" customHeight="1">
      <x:c r="A2" s="92" t="str">
        <x:v>B2B AI Customer Operations Research Dashboard</x:v>
      </x:c>
      <x:c r="B2" s="92"/>
      <x:c r="C2" s="92"/>
      <x:c r="D2" s="92"/>
      <x:c r="E2" s="92"/>
      <x:c r="F2" s="92"/>
      <x:c r="G2" s="92"/>
      <x:c r="H2" s="92"/>
      <x:c r="I2" s="92"/>
      <x:c r="J2" s="92"/>
      <x:c r="K2" s="92"/>
      <x:c r="L2" s="92"/>
    </x:row>
    <x:row r="3" ht="20" customHeight="1">
      <x:c r="A3" s="94" t="str">
        <x:v>Research updated through 11 September 2026</x:v>
      </x:c>
      <x:c r="B3" s="94"/>
      <x:c r="C3" s="94"/>
      <x:c r="D3" s="94"/>
      <x:c r="E3" s="94"/>
      <x:c r="F3" s="94"/>
      <x:c r="G3" s="94"/>
      <x:c r="H3" s="94"/>
      <x:c r="I3" s="94"/>
      <x:c r="J3" s="94"/>
      <x:c r="K3" s="94"/>
      <x:c r="L3" s="94"/>
    </x:row>
    <x:row r="4" ht="10" customHeight="1">
      <x:c r="A4" s="91"/>
      <x:c r="B4" s="91"/>
      <x:c r="C4" s="91"/>
      <x:c r="D4" s="91"/>
      <x:c r="E4" s="91"/>
      <x:c r="F4" s="91"/>
      <x:c r="G4" s="91"/>
      <x:c r="H4" s="91"/>
      <x:c r="I4" s="91"/>
      <x:c r="J4" s="91"/>
      <x:c r="K4" s="91"/>
      <x:c r="L4" s="91"/>
    </x:row>
    <x:row r="5" ht="22" customHeight="1">
      <x:c r="A5" s="105" t="str">
        <x:v>Evidence records</x:v>
      </x:c>
      <x:c r="B5" s="106"/>
      <x:c r="C5" s="107"/>
      <x:c r="D5" s="105" t="str">
        <x:v>Sources reviewed</x:v>
      </x:c>
      <x:c r="E5" s="106"/>
      <x:c r="F5" s="107"/>
      <x:c r="G5" s="130" t="str">
        <x:v>High or medium-high confidence</x:v>
      </x:c>
      <x:c r="H5" s="131"/>
      <x:c r="I5" s="132"/>
      <x:c r="J5" s="155" t="str">
        <x:v>Customer interviews</x:v>
      </x:c>
      <x:c r="K5" s="156"/>
      <x:c r="L5" s="157"/>
    </x:row>
    <x:row r="6" ht="30" customHeight="1">
      <x:c r="A6" s="170" t="n">
        <x:f>COUNTA(Evidence!$A$2:$A$92)</x:f>
        <x:v>91</x:v>
      </x:c>
      <x:c r="B6" s="171"/>
      <x:c r="C6" s="172"/>
      <x:c r="D6" s="170" t="n">
        <x:f>COUNTA(Sources!$A$2:$A$66)</x:f>
        <x:v>65</x:v>
      </x:c>
      <x:c r="E6" s="171"/>
      <x:c r="F6" s="172"/>
      <x:c r="G6" s="173" t="n">
        <x:f>COUNTIF(Evidence!$L$2:$L$92,"High")+COUNTIF(Evidence!$L$2:$L$92,"Medium-high")</x:f>
        <x:v>48</x:v>
      </x:c>
      <x:c r="H6" s="174"/>
      <x:c r="I6" s="175"/>
      <x:c r="J6" s="176" t="n">
        <x:f>Summary!$B$8</x:f>
        <x:v>4</x:v>
      </x:c>
      <x:c r="K6" s="177"/>
      <x:c r="L6" s="178"/>
    </x:row>
    <x:row r="7" ht="24" customHeight="1">
      <x:c r="A7" s="170"/>
      <x:c r="B7" s="171"/>
      <x:c r="C7" s="172"/>
      <x:c r="D7" s="170"/>
      <x:c r="E7" s="171"/>
      <x:c r="F7" s="172"/>
      <x:c r="G7" s="173"/>
      <x:c r="H7" s="174"/>
      <x:c r="I7" s="175"/>
      <x:c r="J7" s="176"/>
      <x:c r="K7" s="177"/>
      <x:c r="L7" s="178"/>
    </x:row>
    <x:row r="8" ht="22" customHeight="1">
      <x:c r="A8" s="117" t="str">
        <x:v>Claim-level observations</x:v>
      </x:c>
      <x:c r="B8" s="118"/>
      <x:c r="C8" s="119"/>
      <x:c r="D8" s="117" t="str">
        <x:v>Each source has a URL and limitation</x:v>
      </x:c>
      <x:c r="E8" s="118"/>
      <x:c r="F8" s="119"/>
      <x:c r="G8" s="142" t="str">
        <x:f>TEXT(G6/A6,"0%")&amp;" of evidence records"</x:f>
        <x:v>53% of evidence records</x:v>
      </x:c>
      <x:c r="H8" s="143"/>
      <x:c r="I8" s="144"/>
      <x:c r="J8" s="167" t="str">
        <x:v>2 completed; 6 minimum remaining</x:v>
      </x:c>
      <x:c r="K8" s="168"/>
      <x:c r="L8" s="169"/>
    </x:row>
    <x:row r="9" ht="10" customHeight="1">
      <x:c r="A9" s="91"/>
      <x:c r="B9" s="91"/>
      <x:c r="C9" s="91"/>
      <x:c r="D9" s="91"/>
      <x:c r="E9" s="91"/>
      <x:c r="F9" s="91"/>
      <x:c r="G9" s="91"/>
      <x:c r="H9" s="91"/>
      <x:c r="I9" s="91"/>
      <x:c r="J9" s="91"/>
      <x:c r="K9" s="91"/>
      <x:c r="L9" s="91"/>
    </x:row>
    <x:row r="10" ht="24" customHeight="1">
      <x:c r="A10" s="180" t="str">
        <x:v>Current strategic decision</x:v>
      </x:c>
      <x:c r="B10" s="180"/>
      <x:c r="C10" s="180"/>
      <x:c r="D10" s="180"/>
      <x:c r="E10" s="180"/>
      <x:c r="F10" s="180"/>
      <x:c r="G10" s="180"/>
      <x:c r="H10" s="180"/>
      <x:c r="I10" s="180"/>
      <x:c r="J10" s="180"/>
      <x:c r="K10" s="180"/>
      <x:c r="L10" s="180"/>
    </x:row>
    <x:row r="11" ht="24" customHeight="1">
      <x:c r="A11" s="192" t="str">
        <x:f>Summary!$D$6</x:f>
        <x:v>Four anonymized interviews now include two mid-market B2B participants (one frontline practitioner and one application-approval stakeholder) plus two enterprise frontline practitioners. P01 and P04 independently described manual context transfer during complex escalations. P03 described a restricted one-month pilot using limited queues with write-back disabled, while P02 reinforced audit and approval constraints. This strengthens the assist-first context-and-handoff hypothesis but does not validate the economic buyer, willingness to pay, pilot demand or preference for a separate layer.</x:v>
      </x:c>
      <x:c r="B11" s="193"/>
      <x:c r="C11" s="193"/>
      <x:c r="D11" s="193"/>
      <x:c r="E11" s="193"/>
      <x:c r="F11" s="193"/>
      <x:c r="G11" s="193"/>
      <x:c r="H11" s="193"/>
      <x:c r="I11" s="193"/>
      <x:c r="J11" s="193"/>
      <x:c r="K11" s="193"/>
      <x:c r="L11" s="194"/>
    </x:row>
    <x:row r="12" ht="24" customHeight="1">
      <x:c r="A12" s="195"/>
      <x:c r="B12" s="196"/>
      <x:c r="C12" s="196"/>
      <x:c r="D12" s="196"/>
      <x:c r="E12" s="196"/>
      <x:c r="F12" s="196"/>
      <x:c r="G12" s="196"/>
      <x:c r="H12" s="196"/>
      <x:c r="I12" s="196"/>
      <x:c r="J12" s="196"/>
      <x:c r="K12" s="196"/>
      <x:c r="L12" s="197"/>
    </x:row>
    <x:row r="13" ht="24" customHeight="1">
      <x:c r="A13" s="198"/>
      <x:c r="B13" s="199"/>
      <x:c r="C13" s="199"/>
      <x:c r="D13" s="199"/>
      <x:c r="E13" s="199"/>
      <x:c r="F13" s="199"/>
      <x:c r="G13" s="199"/>
      <x:c r="H13" s="199"/>
      <x:c r="I13" s="199"/>
      <x:c r="J13" s="199"/>
      <x:c r="K13" s="199"/>
      <x:c r="L13" s="200"/>
    </x:row>
    <x:row r="14" ht="10" customHeight="1">
      <x:c r="A14" s="91"/>
      <x:c r="B14" s="91"/>
      <x:c r="C14" s="91"/>
      <x:c r="D14" s="91"/>
      <x:c r="E14" s="91"/>
      <x:c r="F14" s="91"/>
      <x:c r="G14" s="91"/>
      <x:c r="H14" s="91"/>
      <x:c r="I14" s="91"/>
      <x:c r="J14" s="91"/>
      <x:c r="K14" s="91"/>
      <x:c r="L14" s="91"/>
    </x:row>
    <x:row r="15" ht="24" customHeight="1">
      <x:c r="A15" s="180" t="str">
        <x:v>Evidence confidence</x:v>
      </x:c>
      <x:c r="B15" s="180"/>
      <x:c r="C15" s="180"/>
      <x:c r="D15" s="180"/>
      <x:c r="E15" s="180"/>
      <x:c r="F15" s="180"/>
      <x:c r="G15" s="180" t="str">
        <x:v>Evidence mix</x:v>
      </x:c>
      <x:c r="H15" s="180"/>
      <x:c r="I15" s="180"/>
      <x:c r="J15" s="180"/>
      <x:c r="K15" s="180"/>
      <x:c r="L15" s="180"/>
    </x:row>
    <x:row r="16" ht="24" customHeight="1">
      <x:c r="A16" s="207" t="str">
        <x:v>Confidence</x:v>
      </x:c>
      <x:c r="B16" s="207" t="str">
        <x:v>Records</x:v>
      </x:c>
      <x:c r="C16" s="91"/>
      <x:c r="D16" s="91"/>
      <x:c r="E16" s="91"/>
      <x:c r="F16" s="91"/>
      <x:c r="G16" s="207" t="str">
        <x:v>Evidence group</x:v>
      </x:c>
      <x:c r="H16" s="207" t="str">
        <x:v>Records</x:v>
      </x:c>
      <x:c r="I16" s="91"/>
      <x:c r="J16" s="91"/>
      <x:c r="K16" s="91"/>
      <x:c r="L16" s="91"/>
    </x:row>
    <x:row r="17" ht="24" customHeight="1">
      <x:c r="A17" s="203" t="str">
        <x:v>High</x:v>
      </x:c>
      <x:c r="B17" s="211" t="n">
        <x:f>COUNTIF(Evidence!$L$2:$L$92,A17)</x:f>
        <x:v>22</x:v>
      </x:c>
      <x:c r="C17" s="91"/>
      <x:c r="D17" s="91"/>
      <x:c r="E17" s="91"/>
      <x:c r="F17" s="91"/>
      <x:c r="G17" s="203" t="str">
        <x:v>Research studies</x:v>
      </x:c>
      <x:c r="H17" s="211" t="n">
        <x:f>COUNTIF(Evidence!$E$2:$E$92,"Peer-reviewed field study")+COUNTIF(Evidence!$E$2:$E$92,"Randomized field experiment")+COUNTIF(Evidence!$E$2:$E$92,"Five-month field experiment")+COUNTIF(Evidence!$E$2:$E$92,"Qualitative field study")+COUNTIF(Evidence!$E$2:$E$92,"Production research")</x:f>
        <x:v>13</x:v>
      </x:c>
      <x:c r="I17" s="91"/>
      <x:c r="J17" s="91"/>
      <x:c r="K17" s="91"/>
      <x:c r="L17" s="91"/>
    </x:row>
    <x:row r="18" ht="24" customHeight="1">
      <x:c r="A18" s="203" t="str">
        <x:v>Medium-high</x:v>
      </x:c>
      <x:c r="B18" s="211" t="n">
        <x:f>COUNTIF(Evidence!$L$2:$L$92,A18)</x:f>
        <x:v>26</x:v>
      </x:c>
      <x:c r="C18" s="91"/>
      <x:c r="D18" s="91"/>
      <x:c r="E18" s="91"/>
      <x:c r="F18" s="91"/>
      <x:c r="G18" s="203" t="str">
        <x:v>Surveys and benchmarks</x:v>
      </x:c>
      <x:c r="H18" s="211" t="n">
        <x:f>COUNTIF(Evidence!$E$2:$E$92,"Independent survey")+COUNTIF(Evidence!$E$2:$E$92,"Independent forecast")+COUNTIF(Evidence!$E$2:$E$92,"Vendor survey")+COUNTIF(Evidence!$E$2:$E$92,"Vendor-sponsored survey")+COUNTIF(Evidence!$E$2:$E$92,"Vendor-sponsored global survey")+COUNTIF(Evidence!$E$2:$E$92,"Vendor-sponsored synthesis")+COUNTIF(Evidence!$E$2:$E$92,"Consulting survey")+COUNTIF(Evidence!$E$2:$E$92,"Operational benchmark")</x:f>
        <x:v>22</x:v>
      </x:c>
      <x:c r="I18" s="91"/>
      <x:c r="J18" s="91"/>
      <x:c r="K18" s="91"/>
      <x:c r="L18" s="91"/>
    </x:row>
    <x:row r="19" ht="24" customHeight="1">
      <x:c r="A19" s="203" t="str">
        <x:v>Medium</x:v>
      </x:c>
      <x:c r="B19" s="211" t="n">
        <x:f>COUNTIF(Evidence!$L$2:$L$92,A19)</x:f>
        <x:v>15</x:v>
      </x:c>
      <x:c r="C19" s="91"/>
      <x:c r="D19" s="91"/>
      <x:c r="E19" s="91"/>
      <x:c r="F19" s="91"/>
      <x:c r="G19" s="203" t="str">
        <x:v>Reviews and communities</x:v>
      </x:c>
      <x:c r="H19" s="211" t="n">
        <x:f>Summary!$B$7</x:f>
        <x:v>56</x:v>
      </x:c>
      <x:c r="I19" s="91"/>
      <x:c r="J19" s="91"/>
      <x:c r="K19" s="91"/>
      <x:c r="L19" s="91"/>
    </x:row>
    <x:row r="20" ht="24" customHeight="1">
      <x:c r="A20" s="203" t="str">
        <x:v>Low-medium</x:v>
      </x:c>
      <x:c r="B20" s="211" t="n">
        <x:f>COUNTIF(Evidence!$L$2:$L$92,A20)</x:f>
        <x:v>8</x:v>
      </x:c>
      <x:c r="C20" s="91"/>
      <x:c r="D20" s="91"/>
      <x:c r="E20" s="91"/>
      <x:c r="F20" s="91"/>
      <x:c r="G20" s="203" t="str">
        <x:v>Product and pricing</x:v>
      </x:c>
      <x:c r="H20" s="211" t="n">
        <x:f>COUNTIF(Evidence!$E$2:$E$92,"Official pricing")+COUNTIF(Evidence!$E$2:$E$92,"Official product page")+COUNTIF(Evidence!$E$2:$E$92,"Official product documentation")+COUNTIF(Evidence!$E$2:$E$92,"Official product limitation")+COUNTIF(Evidence!$E$2:$E$92,"Official documentation")</x:f>
        <x:v>9</x:v>
      </x:c>
      <x:c r="I20" s="91"/>
      <x:c r="J20" s="91"/>
      <x:c r="K20" s="91"/>
      <x:c r="L20" s="91"/>
    </x:row>
    <x:row r="21" ht="24" customHeight="1">
      <x:c r="A21" s="203" t="str">
        <x:v>Low</x:v>
      </x:c>
      <x:c r="B21" s="211" t="n">
        <x:f>COUNTIF(Evidence!$L$2:$L$92,A21)</x:f>
        <x:v>20</x:v>
      </x:c>
      <x:c r="C21" s="91"/>
      <x:c r="D21" s="91"/>
      <x:c r="E21" s="91"/>
      <x:c r="F21" s="91"/>
      <x:c r="G21" s="203" t="str">
        <x:v>Market and company</x:v>
      </x:c>
      <x:c r="H21" s="211" t="n">
        <x:f>COUNTIF(Evidence!$E$2:$E$92,"Commercial market estimate")+COUNTIF(Evidence!$E$2:$E$92,"Company operating disclosure")</x:f>
        <x:v>4</x:v>
      </x:c>
      <x:c r="I21" s="91"/>
      <x:c r="J21" s="91"/>
      <x:c r="K21" s="91"/>
      <x:c r="L21" s="91"/>
    </x:row>
    <x:row r="22" ht="24" customHeight="1">
      <x:c r="A22" s="210" t="str">
        <x:v>Total</x:v>
      </x:c>
      <x:c r="B22" s="212" t="n">
        <x:f>SUM(B17:B21)</x:f>
        <x:v>91</x:v>
      </x:c>
      <x:c r="C22" s="91"/>
      <x:c r="D22" s="91"/>
      <x:c r="E22" s="91"/>
      <x:c r="F22" s="91"/>
      <x:c r="G22" s="210" t="str">
        <x:v>Total</x:v>
      </x:c>
      <x:c r="H22" s="212" t="n">
        <x:f>SUM(H17:H21)</x:f>
        <x:v>104</x:v>
      </x:c>
      <x:c r="I22" s="91"/>
      <x:c r="J22" s="91"/>
      <x:c r="K22" s="91"/>
      <x:c r="L22" s="91"/>
    </x:row>
    <x:row r="23" ht="24" customHeight="1">
      <x:c r="A23" s="91"/>
      <x:c r="B23" s="91"/>
      <x:c r="C23" s="91"/>
      <x:c r="D23" s="91"/>
      <x:c r="E23" s="91"/>
      <x:c r="F23" s="91"/>
      <x:c r="G23" s="91"/>
      <x:c r="H23" s="91"/>
      <x:c r="I23" s="91"/>
      <x:c r="J23" s="91"/>
      <x:c r="K23" s="91"/>
      <x:c r="L23" s="91"/>
    </x:row>
    <x:row r="24" ht="24" customHeight="1">
      <x:c r="A24" s="91"/>
      <x:c r="B24" s="91"/>
      <x:c r="C24" s="91"/>
      <x:c r="D24" s="91"/>
      <x:c r="E24" s="91"/>
      <x:c r="F24" s="91"/>
      <x:c r="G24" s="91"/>
      <x:c r="H24" s="91"/>
      <x:c r="I24" s="91"/>
      <x:c r="J24" s="91"/>
      <x:c r="K24" s="91"/>
      <x:c r="L24" s="91"/>
    </x:row>
    <x:row r="25" ht="24" customHeight="1">
      <x:c r="A25" s="91"/>
      <x:c r="B25" s="91"/>
      <x:c r="C25" s="91"/>
      <x:c r="D25" s="91"/>
      <x:c r="E25" s="91"/>
      <x:c r="F25" s="91"/>
      <x:c r="G25" s="91"/>
      <x:c r="H25" s="91"/>
      <x:c r="I25" s="91"/>
      <x:c r="J25" s="91"/>
      <x:c r="K25" s="91"/>
      <x:c r="L25" s="91"/>
    </x:row>
    <x:row r="26" ht="24" customHeight="1">
      <x:c r="A26" s="91"/>
      <x:c r="B26" s="91"/>
      <x:c r="C26" s="91"/>
      <x:c r="D26" s="91"/>
      <x:c r="E26" s="91"/>
      <x:c r="F26" s="91"/>
      <x:c r="G26" s="91"/>
      <x:c r="H26" s="91"/>
      <x:c r="I26" s="91"/>
      <x:c r="J26" s="91"/>
      <x:c r="K26" s="91"/>
      <x:c r="L26" s="91"/>
    </x:row>
    <x:row r="27" ht="10" customHeight="1">
      <x:c r="A27" s="91"/>
      <x:c r="B27" s="91"/>
      <x:c r="C27" s="91"/>
      <x:c r="D27" s="91"/>
      <x:c r="E27" s="91"/>
      <x:c r="F27" s="91"/>
      <x:c r="G27" s="91"/>
      <x:c r="H27" s="91"/>
      <x:c r="I27" s="91"/>
      <x:c r="J27" s="91"/>
      <x:c r="K27" s="91"/>
      <x:c r="L27" s="91"/>
    </x:row>
    <x:row r="28" ht="24" customHeight="1">
      <x:c r="A28" s="180" t="str">
        <x:v>Decision readiness</x:v>
      </x:c>
      <x:c r="B28" s="180"/>
      <x:c r="C28" s="180"/>
      <x:c r="D28" s="180"/>
      <x:c r="E28" s="180"/>
      <x:c r="F28" s="180"/>
      <x:c r="G28" s="180"/>
      <x:c r="H28" s="180"/>
      <x:c r="I28" s="180"/>
      <x:c r="J28" s="180"/>
      <x:c r="K28" s="180"/>
      <x:c r="L28" s="180"/>
    </x:row>
    <x:row r="29" ht="28" customHeight="1">
      <x:c r="A29" s="218" t="str">
        <x:v>Decision question</x:v>
      </x:c>
      <x:c r="B29" s="219"/>
      <x:c r="C29" s="219"/>
      <x:c r="D29" s="220"/>
      <x:c r="E29" s="218" t="str">
        <x:v>Current answer</x:v>
      </x:c>
      <x:c r="F29" s="219"/>
      <x:c r="G29" s="220"/>
      <x:c r="H29" s="218" t="str">
        <x:v>Confidence</x:v>
      </x:c>
      <x:c r="I29" s="220"/>
      <x:c r="J29" s="218" t="str">
        <x:v>Status</x:v>
      </x:c>
      <x:c r="K29" s="219"/>
      <x:c r="L29" s="220"/>
    </x:row>
    <x:row r="30" ht="40" customHeight="1">
      <x:c r="A30" s="221" t="str">
        <x:f>Summary!$A$12</x:f>
        <x:v>Is the category large and frequently used?</x:v>
      </x:c>
      <x:c r="B30" s="221"/>
      <x:c r="C30" s="221"/>
      <x:c r="D30" s="221"/>
      <x:c r="E30" s="221" t="str">
        <x:f>Summary!$C$12</x:f>
        <x:v>Yes directionally; definitions vary</x:v>
      </x:c>
      <x:c r="F30" s="221"/>
      <x:c r="G30" s="221"/>
      <x:c r="H30" s="222" t="str">
        <x:f>Summary!$D$12</x:f>
        <x:v>Medium</x:v>
      </x:c>
      <x:c r="I30" s="222"/>
      <x:c r="J30" s="228" t="str">
        <x:f>Summary!$H$12</x:f>
        <x:v>Supported directionally</x:v>
      </x:c>
      <x:c r="K30" s="228"/>
      <x:c r="L30" s="228"/>
    </x:row>
    <x:row r="31" ht="40" customHeight="1">
      <x:c r="A31" s="225" t="str">
        <x:f>Summary!$A$13</x:f>
        <x:v>Is AI adoption increasing?</x:v>
      </x:c>
      <x:c r="B31" s="225"/>
      <x:c r="C31" s="225"/>
      <x:c r="D31" s="225"/>
      <x:c r="E31" s="225" t="str">
        <x:f>Summary!$C$13</x:f>
        <x:v>Yes; mature deployment remains limited</x:v>
      </x:c>
      <x:c r="F31" s="225"/>
      <x:c r="G31" s="225"/>
      <x:c r="H31" s="226" t="str">
        <x:f>Summary!$D$13</x:f>
        <x:v>Medium-high</x:v>
      </x:c>
      <x:c r="I31" s="226"/>
      <x:c r="J31" s="228" t="str">
        <x:f>Summary!$H$13</x:f>
        <x:v>Supported directionally</x:v>
      </x:c>
      <x:c r="K31" s="228"/>
      <x:c r="L31" s="228"/>
    </x:row>
    <x:row r="32" ht="40" customHeight="1">
      <x:c r="A32" s="221" t="str">
        <x:f>Summary!$A$14</x:f>
        <x:v>Are integrations governance and actions whitespace?</x:v>
      </x:c>
      <x:c r="B32" s="221"/>
      <x:c r="C32" s="221"/>
      <x:c r="D32" s="221"/>
      <x:c r="E32" s="221" t="str">
        <x:f>Summary!$C$14</x:f>
        <x:v>No; incumbents already offer them</x:v>
      </x:c>
      <x:c r="F32" s="221"/>
      <x:c r="G32" s="221"/>
      <x:c r="H32" s="222" t="str">
        <x:f>Summary!$D$14</x:f>
        <x:v>High</x:v>
      </x:c>
      <x:c r="I32" s="222"/>
      <x:c r="J32" s="230" t="str">
        <x:f>Summary!$H$14</x:f>
        <x:v>Rejected as differentiation</x:v>
      </x:c>
      <x:c r="K32" s="230"/>
      <x:c r="L32" s="230"/>
    </x:row>
    <x:row r="33" ht="40" customHeight="1">
      <x:c r="A33" s="225" t="str">
        <x:f>Summary!$A$15</x:f>
        <x:v>Is 51-1000 employee B2B technology the best beachhead?</x:v>
      </x:c>
      <x:c r="B33" s="225"/>
      <x:c r="C33" s="225"/>
      <x:c r="D33" s="225"/>
      <x:c r="E33" s="225" t="str">
        <x:f>Summary!$C$15</x:f>
        <x:v>Plausible; two mid-market participants now sampled</x:v>
      </x:c>
      <x:c r="F33" s="225"/>
      <x:c r="G33" s="225"/>
      <x:c r="H33" s="226" t="str">
        <x:f>Summary!$D$15</x:f>
        <x:v>Medium</x:v>
      </x:c>
      <x:c r="I33" s="226"/>
      <x:c r="J33" s="232" t="str">
        <x:f>Summary!$H$15</x:f>
        <x:v>Partially supported</x:v>
      </x:c>
      <x:c r="K33" s="232"/>
      <x:c r="L33" s="232"/>
    </x:row>
    <x:row r="34" ht="40" customHeight="1">
      <x:c r="A34" s="221" t="str">
        <x:f>Summary!$A$16</x:f>
        <x:v>Which workflow should be solved first?</x:v>
      </x:c>
      <x:c r="B34" s="221"/>
      <x:c r="C34" s="221"/>
      <x:c r="D34" s="221"/>
      <x:c r="E34" s="221" t="str">
        <x:f>Summary!$C$16</x:f>
        <x:v>Complex escalation context and handoff leads (2 mentions)</x:v>
      </x:c>
      <x:c r="F34" s="221"/>
      <x:c r="G34" s="221"/>
      <x:c r="H34" s="222" t="str">
        <x:f>Summary!$D$16</x:f>
        <x:v>Medium-low</x:v>
      </x:c>
      <x:c r="I34" s="222"/>
      <x:c r="J34" s="232" t="str">
        <x:f>Summary!$H$16</x:f>
        <x:v>Leading hypothesis</x:v>
      </x:c>
      <x:c r="K34" s="232"/>
      <x:c r="L34" s="232"/>
    </x:row>
    <x:row r="35" ht="40" customHeight="1">
      <x:c r="A35" s="225" t="str">
        <x:f>Summary!$A$17</x:f>
        <x:v>Will customers add a separate layer?</x:v>
      </x:c>
      <x:c r="B35" s="225"/>
      <x:c r="C35" s="225"/>
      <x:c r="D35" s="225"/>
      <x:c r="E35" s="225" t="str">
        <x:f>Summary!$C$17</x:f>
        <x:v>Unknown; added-system duplication risk was explicit</x:v>
      </x:c>
      <x:c r="F35" s="225"/>
      <x:c r="G35" s="225"/>
      <x:c r="H35" s="226" t="str">
        <x:f>Summary!$D$17</x:f>
        <x:v>Low-medium</x:v>
      </x:c>
      <x:c r="I35" s="226"/>
      <x:c r="J35" s="232" t="str">
        <x:f>Summary!$H$17</x:f>
        <x:v>Unproven</x:v>
      </x:c>
      <x:c r="K35" s="232"/>
      <x:c r="L35" s="232"/>
    </x:row>
    <x:row r="36" ht="40" customHeight="1">
      <x:c r="A36" s="221" t="str">
        <x:f>Summary!$A$18</x:f>
        <x:v>Can pricing be predictable and profitable?</x:v>
      </x:c>
      <x:c r="B36" s="221"/>
      <x:c r="C36" s="221"/>
      <x:c r="D36" s="221"/>
      <x:c r="E36" s="221" t="str">
        <x:f>Summary!$C$18</x:f>
        <x:v>Need workflow economics</x:v>
      </x:c>
      <x:c r="F36" s="221"/>
      <x:c r="G36" s="221"/>
      <x:c r="H36" s="222" t="str">
        <x:f>Summary!$D$18</x:f>
        <x:v>Low-medium</x:v>
      </x:c>
      <x:c r="I36" s="222"/>
      <x:c r="J36" s="232" t="str">
        <x:f>Summary!$H$18</x:f>
        <x:v>Unproven</x:v>
      </x:c>
      <x:c r="K36" s="232"/>
      <x:c r="L36" s="232"/>
    </x:row>
    <x:row r="37" ht="10" customHeight="1">
      <x:c r="A37" s="91"/>
      <x:c r="B37" s="91"/>
      <x:c r="C37" s="91"/>
      <x:c r="D37" s="91"/>
      <x:c r="E37" s="91"/>
      <x:c r="F37" s="91"/>
      <x:c r="G37" s="91"/>
      <x:c r="H37" s="91"/>
      <x:c r="I37" s="91"/>
      <x:c r="J37" s="91"/>
      <x:c r="K37" s="91"/>
      <x:c r="L37" s="91"/>
    </x:row>
    <x:row r="38" ht="24" customHeight="1">
      <x:c r="A38" s="180" t="str">
        <x:v>Key insights</x:v>
      </x:c>
      <x:c r="B38" s="180"/>
      <x:c r="C38" s="180"/>
      <x:c r="D38" s="180"/>
      <x:c r="E38" s="180"/>
      <x:c r="F38" s="180"/>
      <x:c r="G38" s="180"/>
      <x:c r="H38" s="180"/>
      <x:c r="I38" s="180"/>
      <x:c r="J38" s="180"/>
      <x:c r="K38" s="180"/>
      <x:c r="L38" s="180"/>
    </x:row>
    <x:row r="39" ht="24" customHeight="1">
      <x:c r="A39" s="233" t="str">
        <x:v>Evidence quality</x:v>
      </x:c>
      <x:c r="B39" s="234"/>
      <x:c r="C39" s="234"/>
      <x:c r="D39" s="235"/>
      <x:c r="E39" s="233" t="str">
        <x:v>Public signals</x:v>
      </x:c>
      <x:c r="F39" s="234"/>
      <x:c r="G39" s="234"/>
      <x:c r="H39" s="235"/>
      <x:c r="I39" s="233" t="str">
        <x:v>Validation gap</x:v>
      </x:c>
      <x:c r="J39" s="234"/>
      <x:c r="K39" s="234"/>
      <x:c r="L39" s="235"/>
    </x:row>
    <x:row r="40" ht="24" customHeight="1">
      <x:c r="A40" s="246" t="str">
        <x:f>G6&amp;" of "&amp;A6&amp;" records are high or medium-high confidence. The evidence base is stronger, but it remains mixed."</x:f>
        <x:v>48 of 91 records are high or medium-high confidence. The evidence base is stronger, but it remains mixed.</x:v>
      </x:c>
      <x:c r="B40" s="247"/>
      <x:c r="C40" s="247"/>
      <x:c r="D40" s="248"/>
      <x:c r="E40" s="265" t="str">
        <x:f>Summary!$B$7&amp;" records are reviews or community signals. They reveal workflows but do not prove prevalence or buying demand."</x:f>
        <x:v>56 records are reviews or community signals. They reveal workflows but do not prove prevalence or buying demand.</x:v>
      </x:c>
      <x:c r="F40" s="266"/>
      <x:c r="G40" s="266"/>
      <x:c r="H40" s="267"/>
      <x:c r="I40" s="284" t="str">
        <x:f>COUNTIF(Summary!$H$12:$H$18,"Unproven")&amp;" commercial questions remain unproven: ICP, first workflow, separate-layer adoption and unit economics. Next: 8-12 interviews."</x:f>
        <x:v>2 commercial questions remain unproven: ICP, first workflow, separate-layer adoption and unit economics. Next: 8-12 interviews.</x:v>
      </x:c>
      <x:c r="J40" s="285"/>
      <x:c r="K40" s="285"/>
      <x:c r="L40" s="286"/>
    </x:row>
    <x:row r="41" ht="24" customHeight="1">
      <x:c r="A41" s="249"/>
      <x:c r="B41" s="250"/>
      <x:c r="C41" s="250"/>
      <x:c r="D41" s="251"/>
      <x:c r="E41" s="268"/>
      <x:c r="F41" s="269"/>
      <x:c r="G41" s="269"/>
      <x:c r="H41" s="270"/>
      <x:c r="I41" s="287"/>
      <x:c r="J41" s="288"/>
      <x:c r="K41" s="288"/>
      <x:c r="L41" s="289"/>
    </x:row>
    <x:row r="42" ht="24" customHeight="1">
      <x:c r="A42" s="249"/>
      <x:c r="B42" s="250"/>
      <x:c r="C42" s="250"/>
      <x:c r="D42" s="251"/>
      <x:c r="E42" s="268"/>
      <x:c r="F42" s="269"/>
      <x:c r="G42" s="269"/>
      <x:c r="H42" s="270"/>
      <x:c r="I42" s="287"/>
      <x:c r="J42" s="288"/>
      <x:c r="K42" s="288"/>
      <x:c r="L42" s="289"/>
    </x:row>
    <x:row r="43" ht="24" customHeight="1">
      <x:c r="A43" s="252"/>
      <x:c r="B43" s="253"/>
      <x:c r="C43" s="253"/>
      <x:c r="D43" s="254"/>
      <x:c r="E43" s="271"/>
      <x:c r="F43" s="272"/>
      <x:c r="G43" s="272"/>
      <x:c r="H43" s="273"/>
      <x:c r="I43" s="290"/>
      <x:c r="J43" s="291"/>
      <x:c r="K43" s="291"/>
      <x:c r="L43" s="292"/>
    </x:row>
    <x:row r="44" ht="10" customHeight="1">
      <x:c r="A44" s="91"/>
      <x:c r="B44" s="91"/>
      <x:c r="C44" s="91"/>
      <x:c r="D44" s="91"/>
      <x:c r="E44" s="91"/>
      <x:c r="F44" s="91"/>
      <x:c r="G44" s="91"/>
      <x:c r="H44" s="91"/>
      <x:c r="I44" s="91"/>
      <x:c r="J44" s="91"/>
      <x:c r="K44" s="91"/>
      <x:c r="L44" s="91"/>
    </x:row>
    <x:row r="45" ht="24" customHeight="1">
      <x:c r="A45" s="293" t="str">
        <x:v>Boundary: public evidence supports direction and interview questions. It does not validate the ICP, priority workflow, willingness to adopt or willingness to pay.</x:v>
      </x:c>
      <x:c r="B45" s="293"/>
      <x:c r="C45" s="293"/>
      <x:c r="D45" s="293"/>
      <x:c r="E45" s="293"/>
      <x:c r="F45" s="293"/>
      <x:c r="G45" s="293"/>
      <x:c r="H45" s="293"/>
      <x:c r="I45" s="293"/>
      <x:c r="J45" s="293"/>
      <x:c r="K45" s="293"/>
      <x:c r="L45" s="293"/>
    </x:row>
  </x:sheetData>
  <x:mergeCells>
    <x:mergeCell ref="A2:L2"/>
    <x:mergeCell ref="A3:L3"/>
    <x:mergeCell ref="A5:C5"/>
    <x:mergeCell ref="A6:C7"/>
    <x:mergeCell ref="A8:C8"/>
    <x:mergeCell ref="D5:F5"/>
    <x:mergeCell ref="D6:F7"/>
    <x:mergeCell ref="D8:F8"/>
    <x:mergeCell ref="G5:I5"/>
    <x:mergeCell ref="G6:I7"/>
    <x:mergeCell ref="G8:I8"/>
    <x:mergeCell ref="J5:L5"/>
    <x:mergeCell ref="J6:L7"/>
    <x:mergeCell ref="J8:L8"/>
    <x:mergeCell ref="A10:L10"/>
    <x:mergeCell ref="A11:L13"/>
    <x:mergeCell ref="A15:F15"/>
    <x:mergeCell ref="G15:L15"/>
    <x:mergeCell ref="A28:L28"/>
    <x:mergeCell ref="A29:D29"/>
    <x:mergeCell ref="E29:G29"/>
    <x:mergeCell ref="H29:I29"/>
    <x:mergeCell ref="J29:L29"/>
    <x:mergeCell ref="A30:D30"/>
    <x:mergeCell ref="E30:G30"/>
    <x:mergeCell ref="H30:I30"/>
    <x:mergeCell ref="J30:L30"/>
    <x:mergeCell ref="A31:D31"/>
    <x:mergeCell ref="E31:G31"/>
    <x:mergeCell ref="H31:I31"/>
    <x:mergeCell ref="J31:L31"/>
    <x:mergeCell ref="A32:D32"/>
    <x:mergeCell ref="E32:G32"/>
    <x:mergeCell ref="H32:I32"/>
    <x:mergeCell ref="J32:L32"/>
    <x:mergeCell ref="A33:D33"/>
    <x:mergeCell ref="E33:G33"/>
    <x:mergeCell ref="H33:I33"/>
    <x:mergeCell ref="J33:L33"/>
    <x:mergeCell ref="A34:D34"/>
    <x:mergeCell ref="E34:G34"/>
    <x:mergeCell ref="H34:I34"/>
    <x:mergeCell ref="J34:L34"/>
    <x:mergeCell ref="A35:D35"/>
    <x:mergeCell ref="E35:G35"/>
    <x:mergeCell ref="H35:I35"/>
    <x:mergeCell ref="J35:L35"/>
    <x:mergeCell ref="A36:D36"/>
    <x:mergeCell ref="E36:G36"/>
    <x:mergeCell ref="H36:I36"/>
    <x:mergeCell ref="J36:L36"/>
    <x:mergeCell ref="A38:L38"/>
    <x:mergeCell ref="A39:D39"/>
    <x:mergeCell ref="A40:D43"/>
    <x:mergeCell ref="E39:H39"/>
    <x:mergeCell ref="E40:H43"/>
    <x:mergeCell ref="I39:L39"/>
    <x:mergeCell ref="I40:L43"/>
    <x:mergeCell ref="A45:L45"/>
  </x:mergeCells>
  <x:pageMargins left="0.7" right="0.7" top="0.75" bottom="0.75" header="0.3" footer="0.3"/>
  <x:drawing xmlns:r="http://schemas.openxmlformats.org/officeDocument/2006/relationships" r:id="R2b7fb6ad1d784927"/>
</x:worksheet>
</file>
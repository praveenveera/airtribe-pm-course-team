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e675ad0d54e42b6" /></Relationships>
</file>

<file path=xl/workbook.xml><?xml version="1.0" encoding="utf-8"?>
<x:workbook xmlns:x="http://schemas.openxmlformats.org/spreadsheetml/2006/main">
  <x:sheets>
    <x:sheet xmlns:r="http://schemas.openxmlformats.org/officeDocument/2006/relationships" name="Sheet1" sheetId="1" r:id="Rb144da4369e340fe"/>
    <x:sheet xmlns:r="http://schemas.openxmlformats.org/officeDocument/2006/relationships" name="Responses" sheetId="2" r:id="Rc2e64c55021e4ee3"/>
    <x:sheet xmlns:r="http://schemas.openxmlformats.org/officeDocument/2006/relationships" name="Normalized Data" sheetId="3" r:id="Re75728786ecc4507"/>
    <x:sheet xmlns:r="http://schemas.openxmlformats.org/officeDocument/2006/relationships" name="Analytics" sheetId="4" r:id="R7c09aefa58e54d0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ss"/>
    <x:numFmt numFmtId="201" formatCode="0"/>
    <x:numFmt numFmtId="202" formatCode="0.0%"/>
  </x:numFmts>
  <x:fonts count="12">
    <x:font>
      <x:sz val="10"/>
      <x:color rgb="FF000000"/>
      <x:name val="Arial"/>
    </x:font>
    <x:font>
      <x:color theme="1"/>
      <x:name val="Arial"/>
    </x:font>
    <x:font>
      <x:b/>
      <x:sz val="10"/>
      <x:color rgb="FFFFFFFF"/>
      <x:name val="Arial"/>
    </x:font>
    <x:font>
      <x:sz val="9"/>
      <x:color rgb="FF1F2937"/>
      <x:name val="Arial"/>
    </x:font>
    <x:font>
      <x:sz val="10"/>
      <x:color rgb="FF1F2937"/>
      <x:name val="Arial"/>
    </x:font>
    <x:font>
      <x:b/>
      <x:sz val="16"/>
      <x:color rgb="FF172033"/>
      <x:name val="Arial"/>
    </x:font>
    <x:font>
      <x:i/>
      <x:sz val="10"/>
      <x:color rgb="FF64748B"/>
      <x:name val="Arial"/>
    </x:font>
    <x:font>
      <x:b/>
      <x:sz val="9"/>
      <x:color rgb="FF475569"/>
      <x:name val="Arial"/>
    </x:font>
    <x:font>
      <x:b/>
      <x:sz val="16"/>
      <x:color rgb="FF1F4E78"/>
      <x:name val="Arial"/>
    </x:font>
    <x:font>
      <x:sz val="8"/>
      <x:color rgb="FF64748B"/>
      <x:name val="Arial"/>
    </x:font>
    <x:font>
      <x:b/>
      <x:sz val="11"/>
      <x:color rgb="FF17365D"/>
      <x:name val="Arial"/>
    </x:font>
    <x:font>
      <x:b/>
      <x:sz val="9"/>
      <x:color rgb="FFFFFFFF"/>
      <x:name val="Arial"/>
    </x:font>
  </x:fonts>
  <x:fills count="6">
    <x:fill>
      <x:patternFill patternType="none"/>
    </x:fill>
    <x:fill>
      <x:patternFill patternType="lightGray"/>
    </x:fill>
    <x:fill>
      <x:patternFill patternType="solid">
        <x:fgColor rgb="FF1F4E78"/>
      </x:patternFill>
    </x:fill>
    <x:fill>
      <x:patternFill patternType="solid">
        <x:fgColor rgb="FFF8FAFC"/>
      </x:patternFill>
    </x:fill>
    <x:fill>
      <x:patternFill patternType="solid">
        <x:fgColor rgb="FFDCE6F1"/>
      </x:patternFill>
    </x:fill>
    <x:fill>
      <x:patternFill patternType="solid">
        <x:fgColor rgb="FFFFF7E6"/>
      </x:patternFill>
    </x:fill>
  </x:fills>
  <x:borders count="27">
    <x:border/>
    <x:border>
      <x:right style="thin">
        <x:color rgb="FFFFFFFF"/>
      </x:right>
    </x:border>
    <x:border>
      <x:left style="thin">
        <x:color rgb="FFFFFFFF"/>
      </x:left>
      <x:right style="thin">
        <x:color rgb="FFFFFFFF"/>
      </x:right>
    </x:border>
    <x:border>
      <x:left style="thin">
        <x:color rgb="FFFFFFFF"/>
      </x:left>
    </x:border>
    <x:border>
      <x:left style="thin">
        <x:color rgb="FFCBD5E1"/>
      </x:left>
      <x:right style="thin">
        <x:color rgb="FFFFFFFF"/>
      </x:right>
      <x:top style="thin">
        <x:color rgb="FFCBD5E1"/>
      </x:top>
    </x:border>
    <x:border>
      <x:left style="thin">
        <x:color rgb="FFFFFFFF"/>
      </x:left>
      <x:right style="thin">
        <x:color rgb="FFFFFFFF"/>
      </x:right>
      <x:top style="thin">
        <x:color rgb="FFCBD5E1"/>
      </x:top>
    </x:border>
    <x:border>
      <x:left style="thin">
        <x:color rgb="FFFFFFFF"/>
      </x:left>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bottom style="thin">
        <x:color rgb="FF94A3B8"/>
      </x:bottom>
    </x:border>
    <x:border>
      <x:left style="thin">
        <x:color rgb="FFCBD5E1"/>
      </x:left>
      <x:top style="thin">
        <x:color rgb="FFCBD5E1"/>
      </x:top>
    </x:border>
    <x:border>
      <x:right style="thin">
        <x:color rgb="FFCBD5E1"/>
      </x:right>
      <x:top style="thin">
        <x:color rgb="FFCBD5E1"/>
      </x:top>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top style="thin">
        <x:color rgb="FFE2E8F0"/>
      </x:top>
    </x:border>
    <x:border>
      <x:left style="thin">
        <x:color rgb="FFE2E8F0"/>
      </x:left>
      <x:right style="thin">
        <x:color rgb="FFE2E8F0"/>
      </x:right>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right style="thin">
        <x:color rgb="FFE2E8F0"/>
      </x:right>
      <x:top style="thin">
        <x:color rgb="FFE2E8F0"/>
      </x:top>
    </x:border>
  </x:borders>
  <x:cellStyleXfs count="1">
    <x:xf numFmtId="0" fontId="0" fillId="0" borderId="0" applyFont="1" applyAlignment="1"/>
  </x:cellStyleXfs>
  <x:cellXfs count="132">
    <x:xf numFmtId="0" fontId="0" fillId="0" borderId="0" xfId="0" applyFont="1" applyAlignment="1">
      <x:alignment vertical="bottom" wrapText="0"/>
    </x:xf>
    <x:xf numFmtId="0" fontId="1" fillId="0" borderId="0" xfId="0" applyFont="1" applyAlignment="1"/>
    <x:xf numFmtId="200" fontId="1" fillId="0" borderId="0" xfId="0" applyNumberFormat="1" applyFont="1" applyFill="1" applyBorder="1"/>
    <x:xf numFmtId="200" fontId="0" fillId="0" borderId="0" xfId="0" applyNumberFormat="1" applyFont="1" applyFill="1" applyBorder="1" applyAlignment="1">
      <x:alignment vertical="bottom" wrapText="0"/>
    </x:xf>
    <x:xf numFmtId="0" fontId="0" fillId="2" borderId="0" xfId="0" applyNumberFormat="1" applyFont="1" applyFill="1" applyBorder="1" applyAlignment="1">
      <x:alignment vertical="bottom" wrapText="0"/>
    </x:xf>
    <x:xf numFmtId="0" fontId="2" fillId="2" borderId="0" xfId="0" applyNumberFormat="1" applyFont="1" applyFill="1" applyBorder="1" applyAlignment="1">
      <x:alignment vertical="bottom" wrapText="0"/>
    </x:xf>
    <x:xf numFmtId="0" fontId="2" fillId="2" borderId="1" xfId="0" applyNumberFormat="1" applyFont="1" applyFill="1" applyBorder="1" applyAlignment="1">
      <x:alignment vertical="bottom" wrapText="0"/>
    </x:xf>
    <x:xf numFmtId="0" fontId="2" fillId="2" borderId="2" xfId="0" applyNumberFormat="1" applyFont="1" applyFill="1" applyBorder="1" applyAlignment="1">
      <x:alignment vertical="bottom" wrapText="0"/>
    </x:xf>
    <x:xf numFmtId="0" fontId="2" fillId="2" borderId="3" xfId="0" applyNumberFormat="1" applyFont="1" applyFill="1" applyBorder="1" applyAlignment="1">
      <x:alignment vertical="bottom" wrapText="0"/>
    </x:xf>
    <x:xf numFmtId="0" fontId="2" fillId="2" borderId="1" xfId="0" applyNumberFormat="1" applyFont="1" applyFill="1" applyBorder="1" applyAlignment="1">
      <x:alignment vertical="bottom" wrapText="1"/>
    </x:xf>
    <x:xf numFmtId="0" fontId="2" fillId="2" borderId="2" xfId="0" applyNumberFormat="1" applyFont="1" applyFill="1" applyBorder="1" applyAlignment="1">
      <x:alignment vertical="bottom" wrapText="1"/>
    </x:xf>
    <x:xf numFmtId="0" fontId="2" fillId="2" borderId="3" xfId="0" applyNumberFormat="1" applyFont="1" applyFill="1" applyBorder="1" applyAlignment="1">
      <x:alignment vertical="bottom" wrapText="1"/>
    </x:xf>
    <x:xf numFmtId="0" fontId="2" fillId="2" borderId="1" xfId="0" applyNumberFormat="1" applyFont="1" applyFill="1" applyBorder="1" applyAlignment="1">
      <x:alignment horizontal="center" vertical="bottom" wrapText="1"/>
    </x:xf>
    <x:xf numFmtId="0" fontId="2" fillId="2" borderId="2" xfId="0" applyNumberFormat="1" applyFont="1" applyFill="1" applyBorder="1" applyAlignment="1">
      <x:alignment horizontal="center" vertical="bottom" wrapText="1"/>
    </x:xf>
    <x:xf numFmtId="0" fontId="2" fillId="2" borderId="3" xfId="0" applyNumberFormat="1" applyFont="1" applyFill="1" applyBorder="1" applyAlignment="1">
      <x:alignment horizontal="center" vertical="bottom"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applyAlignment="1">
      <x:alignment vertical="bottom" wrapText="0"/>
    </x:xf>
    <x:xf numFmtId="0" fontId="3"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3" fillId="0" borderId="7" xfId="0" applyNumberFormat="1" applyFont="1" applyFill="1" applyBorder="1" applyAlignment="1">
      <x:alignment vertical="top" wrapText="0"/>
    </x:xf>
    <x:xf numFmtId="0" fontId="3" fillId="0" xfId="0" applyNumberFormat="1" applyFont="1" applyFill="1" applyBorder="0" applyAlignment="1">
      <x:alignment vertical="top" wrapText="0"/>
    </x:xf>
    <x:xf numFmtId="0" fontId="3" fillId="0" xfId="0" applyNumberFormat="1" applyFont="1" applyFill="1" applyBorder="0" applyAlignment="1">
      <x:alignment vertical="top" wrapText="1"/>
    </x:xf>
    <x:xf numFmtId="0" fontId="3" fillId="0" borderId="8" xfId="0" applyNumberFormat="1" applyFont="1" applyFill="1" applyBorder="1" applyAlignment="1">
      <x:alignment vertical="top" wrapText="0"/>
    </x:xf>
    <x:xf numFmtId="0" fontId="3" fillId="0" borderId="9" xfId="0" applyNumberFormat="1" applyFont="1" applyFill="1" applyBorder="1" applyAlignment="1">
      <x:alignment vertical="top" wrapText="0"/>
    </x:xf>
    <x:xf numFmtId="0" fontId="3" fillId="0" borderId="10" xfId="0" applyNumberFormat="1" applyFont="1" applyFill="1" applyBorder="1" applyAlignment="1">
      <x:alignment vertical="top" wrapText="0"/>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0"/>
    </x:xf>
    <x:xf numFmtId="200" fontId="3" fillId="0" xfId="0" applyNumberFormat="1" applyFont="1" applyFill="1" applyBorder="0" applyAlignment="1">
      <x:alignment vertical="top" wrapText="0"/>
    </x:xf>
    <x:xf numFmtId="200" fontId="3" fillId="0" borderId="10" xfId="0" applyNumberFormat="1" applyFont="1" applyFill="1" applyBorder="1" applyAlignment="1">
      <x:alignment vertical="top" wrapText="0"/>
    </x:xf>
    <x:xf numFmtId="0" fontId="4" fillId="0" borderId="0" xfId="0" applyNumberFormat="1" applyFont="1" applyFill="1" applyBorder="1" applyAlignment="1">
      <x:alignment vertical="bottom" wrapText="0"/>
    </x:xf>
    <x:xf numFmtId="0" fontId="5" fillId="0" borderId="0" xfId="0" applyNumberFormat="1" applyFont="1" applyFill="1" applyBorder="1" applyAlignment="1">
      <x:alignment vertical="bottom" wrapText="0"/>
    </x:xf>
    <x:xf numFmtId="0" fontId="6" fillId="0" borderId="0" xfId="0" applyNumberFormat="1" applyFont="1" applyFill="1" applyBorder="1" applyAlignment="1">
      <x:alignment vertical="bottom" wrapText="0"/>
    </x:xf>
    <x:xf numFmtId="0" fontId="4" fillId="0" borderId="12" xfId="0" applyNumberFormat="1" applyFont="1" applyFill="1" applyBorder="1" applyAlignment="1">
      <x:alignment vertical="bottom" wrapText="0"/>
    </x:xf>
    <x:xf numFmtId="0" fontId="4" fillId="3" borderId="0" xfId="0" applyNumberFormat="1" applyFont="1" applyFill="1" applyBorder="1" applyAlignment="1">
      <x:alignment vertical="bottom" wrapText="0"/>
    </x:xf>
    <x:xf numFmtId="0" fontId="4" fillId="3" borderId="13" xfId="0" applyNumberFormat="1" applyFont="1" applyFill="1" applyBorder="1" applyAlignment="1">
      <x:alignment vertical="bottom" wrapText="0"/>
    </x:xf>
    <x:xf numFmtId="0" fontId="4" fillId="3" borderId="14" xfId="0" applyNumberFormat="1" applyFont="1" applyFill="1" applyBorder="1" applyAlignment="1">
      <x:alignment vertical="bottom" wrapText="0"/>
    </x:xf>
    <x:xf numFmtId="0" fontId="4" fillId="3" borderId="7" xfId="0" applyNumberFormat="1" applyFont="1" applyFill="1" applyBorder="1" applyAlignment="1">
      <x:alignment vertical="bottom" wrapText="0"/>
    </x:xf>
    <x:xf numFmtId="0" fontId="4" fillId="3" borderId="8" xfId="0" applyNumberFormat="1" applyFont="1" applyFill="1" applyBorder="1" applyAlignment="1">
      <x:alignment vertical="bottom" wrapText="0"/>
    </x:xf>
    <x:xf numFmtId="0" fontId="4" fillId="3" borderId="9" xfId="0" applyNumberFormat="1" applyFont="1" applyFill="1" applyBorder="1" applyAlignment="1">
      <x:alignment vertical="bottom" wrapText="0"/>
    </x:xf>
    <x:xf numFmtId="0" fontId="4" fillId="3" borderId="11" xfId="0" applyNumberFormat="1" applyFont="1" applyFill="1" applyBorder="1" applyAlignment="1">
      <x:alignment vertical="bottom" wrapText="0"/>
    </x:xf>
    <x:xf numFmtId="0" fontId="4" fillId="3" borderId="13" xfId="0" applyNumberFormat="1" applyFont="1" applyFill="1" applyBorder="1" applyAlignment="1">
      <x:alignment vertical="bottom" wrapText="1"/>
    </x:xf>
    <x:xf numFmtId="0" fontId="4" fillId="3" borderId="14" xfId="0" applyNumberFormat="1" applyFont="1" applyFill="1" applyBorder="1" applyAlignment="1">
      <x:alignment vertical="bottom" wrapText="1"/>
    </x:xf>
    <x:xf numFmtId="0" fontId="4" fillId="3" borderId="7" xfId="0" applyNumberFormat="1" applyFont="1" applyFill="1" applyBorder="1" applyAlignment="1">
      <x:alignment vertical="bottom" wrapText="1"/>
    </x:xf>
    <x:xf numFmtId="0" fontId="4" fillId="3" borderId="8" xfId="0" applyNumberFormat="1" applyFont="1" applyFill="1" applyBorder="1" applyAlignment="1">
      <x:alignment vertical="bottom" wrapText="1"/>
    </x:xf>
    <x:xf numFmtId="0" fontId="4" fillId="3" borderId="9" xfId="0" applyNumberFormat="1" applyFont="1" applyFill="1" applyBorder="1" applyAlignment="1">
      <x:alignment vertical="bottom" wrapText="1"/>
    </x:xf>
    <x:xf numFmtId="0" fontId="4" fillId="3" borderId="11" xfId="0" applyNumberFormat="1" applyFont="1" applyFill="1" applyBorder="1" applyAlignment="1">
      <x:alignment vertical="bottom" wrapText="1"/>
    </x:xf>
    <x:xf numFmtId="0" fontId="4" fillId="3" borderId="13" xfId="0" applyNumberFormat="1" applyFont="1" applyFill="1" applyBorder="1" applyAlignment="1">
      <x:alignment horizontal="center" vertical="bottom" wrapText="1"/>
    </x:xf>
    <x:xf numFmtId="0" fontId="4" fillId="3" borderId="14" xfId="0" applyNumberFormat="1" applyFont="1" applyFill="1" applyBorder="1" applyAlignment="1">
      <x:alignment horizontal="center" vertical="bottom" wrapText="1"/>
    </x:xf>
    <x:xf numFmtId="0" fontId="4" fillId="3" borderId="7" xfId="0" applyNumberFormat="1" applyFont="1" applyFill="1" applyBorder="1" applyAlignment="1">
      <x:alignment horizontal="center" vertical="bottom" wrapText="1"/>
    </x:xf>
    <x:xf numFmtId="0" fontId="4" fillId="3" borderId="8" xfId="0" applyNumberFormat="1" applyFont="1" applyFill="1" applyBorder="1" applyAlignment="1">
      <x:alignment horizontal="center" vertical="bottom" wrapText="1"/>
    </x:xf>
    <x:xf numFmtId="0" fontId="4" fillId="3" borderId="9" xfId="0" applyNumberFormat="1" applyFont="1" applyFill="1" applyBorder="1" applyAlignment="1">
      <x:alignment horizontal="center" vertical="bottom" wrapText="1"/>
    </x:xf>
    <x:xf numFmtId="0" fontId="4" fillId="3" borderId="11" xfId="0" applyNumberFormat="1" applyFont="1" applyFill="1" applyBorder="1" applyAlignment="1">
      <x:alignment horizontal="center" vertical="bottom" wrapText="1"/>
    </x:xf>
    <x:xf numFmtId="0" fontId="4" fillId="3" borderId="13" xfId="0" applyNumberFormat="1" applyFont="1" applyFill="1" applyBorder="1" applyAlignment="1">
      <x:alignment horizontal="center" vertical="center" wrapText="1"/>
    </x:xf>
    <x:xf numFmtId="0" fontId="4" fillId="3" borderId="14" xfId="0" applyNumberFormat="1" applyFont="1" applyFill="1" applyBorder="1" applyAlignment="1">
      <x:alignment horizontal="center" vertical="center" wrapText="1"/>
    </x:xf>
    <x:xf numFmtId="0" fontId="4" fillId="3" borderId="7" xfId="0" applyNumberFormat="1" applyFont="1" applyFill="1" applyBorder="1" applyAlignment="1">
      <x:alignment horizontal="center" vertical="center" wrapText="1"/>
    </x:xf>
    <x:xf numFmtId="0" fontId="4" fillId="3" borderId="8" xfId="0" applyNumberFormat="1" applyFont="1" applyFill="1" applyBorder="1" applyAlignment="1">
      <x:alignment horizontal="center" vertical="center" wrapText="1"/>
    </x:xf>
    <x:xf numFmtId="0" fontId="4" fillId="3" borderId="9" xfId="0" applyNumberFormat="1" applyFont="1" applyFill="1" applyBorder="1" applyAlignment="1">
      <x:alignment horizontal="center" vertical="center" wrapText="1"/>
    </x:xf>
    <x:xf numFmtId="0" fontId="4" fillId="3" borderId="11" xfId="0" applyNumberFormat="1" applyFont="1" applyFill="1" applyBorder="1" applyAlignment="1">
      <x:alignment horizontal="center" vertical="center" wrapText="1"/>
    </x:xf>
    <x:xf numFmtId="0" fontId="7" fillId="3" borderId="13" xfId="0" applyNumberFormat="1" applyFont="1" applyFill="1" applyBorder="1" applyAlignment="1">
      <x:alignment horizontal="center" vertical="center" wrapText="1"/>
    </x:xf>
    <x:xf numFmtId="0" fontId="8" fillId="3" borderId="7" xfId="0" applyNumberFormat="1" applyFont="1" applyFill="1" applyBorder="1" applyAlignment="1">
      <x:alignment horizontal="center" vertical="center" wrapText="1"/>
    </x:xf>
    <x:xf numFmtId="0" fontId="9" fillId="3" borderId="9" xfId="0" applyNumberFormat="1" applyFont="1" applyFill="1" applyBorder="1" applyAlignment="1">
      <x:alignment horizontal="center" vertical="center" wrapText="1"/>
    </x:xf>
    <x:xf numFmtId="0" fontId="4" fillId="4" borderId="0" xfId="0" applyNumberFormat="1" applyFont="1" applyFill="1" applyBorder="1" applyAlignment="1">
      <x:alignment vertical="bottom" wrapText="0"/>
    </x:xf>
    <x:xf numFmtId="0" fontId="10" fillId="4" borderId="0" xfId="0" applyNumberFormat="1" applyFont="1" applyFill="1" applyBorder="1" applyAlignment="1">
      <x:alignment vertical="bottom" wrapText="0"/>
    </x:xf>
    <x:xf numFmtId="0" fontId="10" fillId="4" borderId="15" xfId="0" applyNumberFormat="1" applyFont="1" applyFill="1" applyBorder="1" applyAlignment="1">
      <x:alignment vertical="bottom" wrapText="0"/>
    </x:xf>
    <x:xf numFmtId="0" fontId="10" fillId="4" borderId="16" xfId="0" applyNumberFormat="1" applyFont="1" applyFill="1" applyBorder="1" applyAlignment="1">
      <x:alignment vertical="bottom" wrapText="0"/>
    </x:xf>
    <x:xf numFmtId="0" fontId="10" fillId="4" borderId="17" xfId="0" applyNumberFormat="1" applyFont="1" applyFill="1" applyBorder="1" applyAlignment="1">
      <x:alignment vertical="bottom" wrapText="0"/>
    </x:xf>
    <x:xf numFmtId="0" fontId="10" fillId="4" borderId="15" xfId="0" applyNumberFormat="1" applyFont="1" applyFill="1" applyBorder="1" applyAlignment="1">
      <x:alignment vertical="center" wrapText="0"/>
    </x:xf>
    <x:xf numFmtId="0" fontId="10" fillId="4" borderId="16" xfId="0" applyNumberFormat="1" applyFont="1" applyFill="1" applyBorder="1" applyAlignment="1">
      <x:alignment vertical="center" wrapText="0"/>
    </x:xf>
    <x:xf numFmtId="0" fontId="10" fillId="4" borderId="17" xfId="0" applyNumberFormat="1" applyFont="1" applyFill="1" applyBorder="1" applyAlignment="1">
      <x:alignment vertical="center" wrapText="0"/>
    </x:xf>
    <x:xf numFmtId="0" fontId="4" fillId="2" borderId="0" xfId="0" applyNumberFormat="1" applyFont="1" applyFill="1" applyBorder="1" applyAlignment="1">
      <x:alignment vertical="bottom" wrapText="0"/>
    </x:xf>
    <x:xf numFmtId="0" fontId="11" fillId="2" borderId="0" xfId="0" applyNumberFormat="1" applyFont="1" applyFill="1" applyBorder="1" applyAlignment="1">
      <x:alignment vertical="bottom" wrapText="0"/>
    </x:xf>
    <x:xf numFmtId="0" fontId="11" fillId="2" borderId="1" xfId="0" applyNumberFormat="1" applyFont="1" applyFill="1" applyBorder="1" applyAlignment="1">
      <x:alignment vertical="bottom" wrapText="0"/>
    </x:xf>
    <x:xf numFmtId="0" fontId="11" fillId="2" borderId="3" xfId="0" applyNumberFormat="1" applyFont="1" applyFill="1" applyBorder="1" applyAlignment="1">
      <x:alignment vertical="bottom" wrapText="0"/>
    </x:xf>
    <x:xf numFmtId="0" fontId="11" fillId="2" borderId="1" xfId="0" applyNumberFormat="1" applyFont="1" applyFill="1" applyBorder="1" applyAlignment="1">
      <x:alignment horizontal="center" vertical="bottom" wrapText="0"/>
    </x:xf>
    <x:xf numFmtId="0" fontId="11" fillId="2" borderId="3" xfId="0" applyNumberFormat="1" applyFont="1" applyFill="1" applyBorder="1" applyAlignment="1">
      <x:alignment horizontal="center" vertical="bottom" wrapText="0"/>
    </x:xf>
    <x:xf numFmtId="0" fontId="11" fillId="2" borderId="1" xfId="0" applyNumberFormat="1" applyFont="1" applyFill="1" applyBorder="1" applyAlignment="1">
      <x:alignment horizontal="center" vertical="center" wrapText="0"/>
    </x:xf>
    <x:xf numFmtId="0" fontId="11" fillId="2" borderId="3" xfId="0" applyNumberFormat="1" applyFont="1" applyFill="1" applyBorder="1" applyAlignment="1">
      <x:alignment horizontal="center" vertical="center" wrapText="0"/>
    </x:xf>
    <x:xf numFmtId="0" fontId="4" fillId="0" borderId="18" xfId="0" applyNumberFormat="1" applyFont="1" applyFill="1" applyBorder="1" applyAlignment="1">
      <x:alignment vertical="bottom" wrapText="0"/>
    </x:xf>
    <x:xf numFmtId="0" fontId="4" fillId="0" borderId="19" xfId="0" applyNumberFormat="1" applyFont="1" applyFill="1" applyBorder="1" applyAlignment="1">
      <x:alignment vertical="bottom" wrapText="0"/>
    </x:xf>
    <x:xf numFmtId="0" fontId="4" fillId="0" borderId="20" xfId="0" applyNumberFormat="1" applyFont="1" applyFill="1" applyBorder="1" applyAlignment="1">
      <x:alignment vertical="bottom" wrapText="0"/>
    </x:xf>
    <x:xf numFmtId="0" fontId="4" fillId="0" borderId="21" xfId="0" applyNumberFormat="1" applyFont="1" applyFill="1" applyBorder="1" applyAlignment="1">
      <x:alignment vertical="bottom" wrapText="0"/>
    </x:xf>
    <x:xf numFmtId="0" fontId="4" fillId="0" borderId="22" xfId="0" applyNumberFormat="1" applyFont="1" applyFill="1" applyBorder="1" applyAlignment="1">
      <x:alignment vertical="bottom" wrapText="0"/>
    </x:xf>
    <x:xf numFmtId="0" fontId="4" fillId="0" borderId="23" xfId="0" applyNumberFormat="1" applyFont="1" applyFill="1" applyBorder="1" applyAlignment="1">
      <x:alignment vertical="bottom" wrapText="0"/>
    </x:xf>
    <x:xf numFmtId="0" fontId="4" fillId="0" borderId="18" xfId="0" applyNumberFormat="1" applyFont="1" applyFill="1" applyBorder="1" applyAlignment="1">
      <x:alignment vertical="center" wrapText="0"/>
    </x:xf>
    <x:xf numFmtId="0" fontId="4" fillId="0" borderId="19" xfId="0" applyNumberFormat="1" applyFont="1" applyFill="1" applyBorder="1" applyAlignment="1">
      <x:alignment vertical="center" wrapText="0"/>
    </x:xf>
    <x:xf numFmtId="0" fontId="4" fillId="0" borderId="20" xfId="0" applyNumberFormat="1" applyFont="1" applyFill="1" applyBorder="1" applyAlignment="1">
      <x:alignment vertical="center" wrapText="0"/>
    </x:xf>
    <x:xf numFmtId="0" fontId="4" fillId="0" borderId="21" xfId="0" applyNumberFormat="1" applyFont="1" applyFill="1" applyBorder="1" applyAlignment="1">
      <x:alignment vertical="center" wrapText="0"/>
    </x:xf>
    <x:xf numFmtId="0" fontId="4" fillId="0" borderId="22" xfId="0" applyNumberFormat="1" applyFont="1" applyFill="1" applyBorder="1" applyAlignment="1">
      <x:alignment vertical="center" wrapText="0"/>
    </x:xf>
    <x:xf numFmtId="0" fontId="4" fillId="0" borderId="23" xfId="0" applyNumberFormat="1" applyFont="1" applyFill="1" applyBorder="1" applyAlignment="1">
      <x:alignment vertical="center" wrapText="0"/>
    </x:xf>
    <x:xf numFmtId="0" fontId="4" fillId="3" borderId="18" xfId="0" applyNumberFormat="1" applyFont="1" applyFill="1" applyBorder="1" applyAlignment="1">
      <x:alignment vertical="center" wrapText="0"/>
    </x:xf>
    <x:xf numFmtId="0" fontId="4" fillId="3" borderId="20" xfId="0" applyNumberFormat="1" applyFont="1" applyFill="1" applyBorder="1" applyAlignment="1">
      <x:alignment vertical="center" wrapText="0"/>
    </x:xf>
    <x:xf numFmtId="0" fontId="4" fillId="3" borderId="22" xfId="0" applyNumberFormat="1" applyFont="1" applyFill="1" applyBorder="1" applyAlignment="1">
      <x:alignment vertical="center" wrapText="0"/>
    </x:xf>
    <x:xf numFmtId="201" fontId="4" fillId="0" borderId="19" xfId="0" applyNumberFormat="1" applyFont="1" applyFill="1" applyBorder="1" applyAlignment="1">
      <x:alignment vertical="center" wrapText="0"/>
    </x:xf>
    <x:xf numFmtId="201" fontId="4" fillId="0" borderId="21" xfId="0" applyNumberFormat="1" applyFont="1" applyFill="1" applyBorder="1" applyAlignment="1">
      <x:alignment vertical="center" wrapText="0"/>
    </x:xf>
    <x:xf numFmtId="201" fontId="4" fillId="0" borderId="23" xfId="0" applyNumberFormat="1" applyFont="1" applyFill="1" applyBorder="1" applyAlignment="1">
      <x:alignment vertical="center" wrapText="0"/>
    </x:xf>
    <x:xf numFmtId="0" fontId="11" fillId="2" borderId="2" xfId="0" applyNumberFormat="1" applyFont="1" applyFill="1" applyBorder="1" applyAlignment="1">
      <x:alignment vertical="bottom" wrapText="0"/>
    </x:xf>
    <x:xf numFmtId="0" fontId="11" fillId="2" borderId="2" xfId="0" applyNumberFormat="1" applyFont="1" applyFill="1" applyBorder="1" applyAlignment="1">
      <x:alignment horizontal="center" vertical="bottom" wrapText="0"/>
    </x:xf>
    <x:xf numFmtId="0" fontId="11" fillId="2" borderId="2" xfId="0" applyNumberFormat="1" applyFont="1" applyFill="1" applyBorder="1" applyAlignment="1">
      <x:alignment horizontal="center" vertical="center" wrapText="0"/>
    </x:xf>
    <x:xf numFmtId="0" fontId="4" fillId="0" borderId="24" xfId="0" applyNumberFormat="1" applyFont="1" applyFill="1" applyBorder="1" applyAlignment="1">
      <x:alignment vertical="bottom" wrapText="0"/>
    </x:xf>
    <x:xf numFmtId="0" fontId="4" fillId="0" borderId="25" xfId="0" applyNumberFormat="1" applyFont="1" applyFill="1" applyBorder="1" applyAlignment="1">
      <x:alignment vertical="bottom" wrapText="0"/>
    </x:xf>
    <x:xf numFmtId="0" fontId="4" fillId="0" borderId="26" xfId="0" applyNumberFormat="1" applyFont="1" applyFill="1" applyBorder="1" applyAlignment="1">
      <x:alignment vertical="bottom" wrapText="0"/>
    </x:xf>
    <x:xf numFmtId="0" fontId="4" fillId="0" borderId="24" xfId="0" applyNumberFormat="1" applyFont="1" applyFill="1" applyBorder="1" applyAlignment="1">
      <x:alignment vertical="center" wrapText="0"/>
    </x:xf>
    <x:xf numFmtId="0" fontId="4" fillId="0" borderId="25" xfId="0" applyNumberFormat="1" applyFont="1" applyFill="1" applyBorder="1" applyAlignment="1">
      <x:alignment vertical="center" wrapText="0"/>
    </x:xf>
    <x:xf numFmtId="0" fontId="4" fillId="0" borderId="26" xfId="0" applyNumberFormat="1" applyFont="1" applyFill="1" applyBorder="1" applyAlignment="1">
      <x:alignment vertical="center" wrapText="0"/>
    </x:xf>
    <x:xf numFmtId="202" fontId="4" fillId="0" borderId="19" xfId="0" applyNumberFormat="1" applyFont="1" applyFill="1" applyBorder="1" applyAlignment="1">
      <x:alignment vertical="center" wrapText="0"/>
    </x:xf>
    <x:xf numFmtId="202" fontId="4" fillId="0" borderId="21" xfId="0" applyNumberFormat="1" applyFont="1" applyFill="1" applyBorder="1" applyAlignment="1">
      <x:alignment vertical="center" wrapText="0"/>
    </x:xf>
    <x:xf numFmtId="202" fontId="4" fillId="0" borderId="23" xfId="0" applyNumberFormat="1" applyFont="1" applyFill="1" applyBorder="1" applyAlignment="1">
      <x:alignment vertical="center" wrapText="0"/>
    </x:xf>
    <x:xf numFmtId="0" fontId="4" fillId="0" borderId="24" xfId="0" applyNumberFormat="1" applyFont="1" applyFill="1" applyBorder="1" applyAlignment="1">
      <x:alignment vertical="bottom" wrapText="1"/>
    </x:xf>
    <x:xf numFmtId="0" fontId="4" fillId="0" borderId="25" xfId="0" applyNumberFormat="1" applyFont="1" applyFill="1" applyBorder="1" applyAlignment="1">
      <x:alignment vertical="bottom" wrapText="1"/>
    </x:xf>
    <x:xf numFmtId="0" fontId="4" fillId="0" borderId="26" xfId="0" applyNumberFormat="1" applyFont="1" applyFill="1" applyBorder="1" applyAlignment="1">
      <x:alignment vertical="bottom" wrapText="1"/>
    </x:xf>
    <x:xf numFmtId="0" fontId="4" fillId="5" borderId="22" xfId="0" applyNumberFormat="1" applyFont="1" applyFill="1" applyBorder="1" applyAlignment="1">
      <x:alignment vertical="bottom" wrapText="0"/>
    </x:xf>
    <x:xf numFmtId="0" fontId="4" fillId="5" borderId="26" xfId="0" applyNumberFormat="1" applyFont="1" applyFill="1" applyBorder="1" applyAlignment="1">
      <x:alignment vertical="bottom" wrapText="1"/>
    </x:xf>
    <x:xf numFmtId="0" fontId="4" fillId="5" borderId="26" xfId="0" applyNumberFormat="1" applyFont="1" applyFill="1" applyBorder="1" applyAlignment="1">
      <x:alignment vertical="bottom" wrapText="0"/>
    </x:xf>
    <x:xf numFmtId="0" fontId="4" fillId="5" borderId="23" xfId="0" applyNumberFormat="1" applyFont="1" applyFill="1" applyBorder="1" applyAlignment="1">
      <x:alignment vertical="bottom" wrapText="0"/>
    </x:xf>
    <x:xf numFmtId="0" fontId="4" fillId="0" borderId="24" xfId="0" applyNumberFormat="1" applyFont="1" applyFill="1" applyBorder="1" applyAlignment="1">
      <x:alignment vertical="center" wrapText="1"/>
    </x:xf>
    <x:xf numFmtId="0" fontId="4" fillId="0" borderId="25" xfId="0" applyNumberFormat="1" applyFont="1" applyFill="1" applyBorder="1" applyAlignment="1">
      <x:alignment vertical="center" wrapText="1"/>
    </x:xf>
    <x:xf numFmtId="0" fontId="4" fillId="0" borderId="26" xfId="0" applyNumberFormat="1" applyFont="1" applyFill="1" applyBorder="1" applyAlignment="1">
      <x:alignment vertical="center" wrapText="1"/>
    </x:xf>
    <x:xf numFmtId="0" fontId="4" fillId="0" borderId="18" xfId="0" applyNumberFormat="1" applyFont="1" applyFill="1" applyBorder="1" applyAlignment="1">
      <x:alignment horizontal="center" vertical="center" wrapText="0"/>
    </x:xf>
    <x:xf numFmtId="0" fontId="4" fillId="0" borderId="24" xfId="0" applyNumberFormat="1" applyFont="1" applyFill="1" applyBorder="1" applyAlignment="1">
      <x:alignment horizontal="center" vertical="center" wrapText="0"/>
    </x:xf>
    <x:xf numFmtId="0" fontId="4" fillId="0" borderId="20" xfId="0" applyNumberFormat="1" applyFont="1" applyFill="1" applyBorder="1" applyAlignment="1">
      <x:alignment horizontal="center" vertical="center" wrapText="0"/>
    </x:xf>
    <x:xf numFmtId="0" fontId="4" fillId="0" borderId="25" xfId="0" applyNumberFormat="1" applyFont="1" applyFill="1" applyBorder="1" applyAlignment="1">
      <x:alignment horizontal="center" vertical="center" wrapText="0"/>
    </x:xf>
    <x:xf numFmtId="0" fontId="4" fillId="0" borderId="22" xfId="0" applyNumberFormat="1" applyFont="1" applyFill="1" applyBorder="1" applyAlignment="1">
      <x:alignment horizontal="center" vertical="center" wrapText="0"/>
    </x:xf>
    <x:xf numFmtId="0" fontId="4" fillId="0" borderId="26" xfId="0" applyNumberFormat="1" applyFont="1" applyFill="1" applyBorder="1" applyAlignment="1">
      <x:alignment horizontal="center" vertical="center" wrapText="0"/>
    </x:xf>
    <x:xf numFmtId="0" fontId="5" fillId="0" borderId="0" xfId="0" applyNumberFormat="1" applyFont="1" applyFill="1" applyBorder="1" applyAlignment="1">
      <x:alignment vertical="center" wrapText="0"/>
    </x:xf>
    <x:xf numFmtId="0" fontId="6" fillId="0" borderId="0" xfId="0" applyNumberFormat="1" applyFont="1" applyFill="1" applyBorder="1" applyAlignment="1">
      <x:alignment vertical="center" wrapText="0"/>
    </x:xf>
    <x:xf numFmtId="0" fontId="4" fillId="0" borderId="12" xfId="0" applyNumberFormat="1" applyFont="1" applyFill="1" applyBorder="1" applyAlignment="1">
      <x:alignment vertical="center" wrapText="0"/>
    </x:xf>
    <x:xf numFmtId="0" fontId="4"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67b88fd8a74eed" /><Relationship Type="http://schemas.openxmlformats.org/officeDocument/2006/relationships/theme" Target="/xl/theme/theme1.xml" Id="R9b69918023aa41d4" /><Relationship Type="http://schemas.openxmlformats.org/officeDocument/2006/relationships/sharedStrings" Target="/xl/sharedStrings.xml" Id="R53edf6e2cbcb40b8" /><Relationship Type="http://schemas.openxmlformats.org/officeDocument/2006/relationships/worksheet" Target="/xl/worksheets/sheet1.xml" Id="Rb144da4369e340fe" /><Relationship Type="http://schemas.openxmlformats.org/officeDocument/2006/relationships/worksheet" Target="/xl/worksheets/sheet2.xml" Id="Rc2e64c55021e4ee3" /><Relationship Type="http://schemas.openxmlformats.org/officeDocument/2006/relationships/worksheet" Target="/xl/worksheets/sheet3.xml" Id="Re75728786ecc4507" /><Relationship Type="http://schemas.openxmlformats.org/officeDocument/2006/relationships/worksheet" Target="/xl/worksheets/sheet4.xml" Id="R7c09aefa58e54d0d" /></Relationships>
</file>

<file path=xl/drawings/_rels/drawing1.xml.rels>&#65279;<?xml version="1.0" encoding="utf-8"?><Relationships xmlns="http://schemas.openxmlformats.org/package/2006/relationships"><Relationship Type="http://schemas.openxmlformats.org/officeDocument/2006/relationships/chart" Target="/xl/drawings/charts/chart1.xml" Id="R63d43a6b9dd74df2" /><Relationship Type="http://schemas.openxmlformats.org/officeDocument/2006/relationships/chart" Target="/xl/drawings/charts/chart2.xml" Id="R1b628cd2f1eb4e77" /><Relationship Type="http://schemas.openxmlformats.org/officeDocument/2006/relationships/chart" Target="/xl/drawings/charts/chart3.xml" Id="R5ad65fc15a5647c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Survey response funnel</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barChart>
        <c:barDir val="col"/>
        <c:varyColors val="0"/>
        <c:ser>
          <c:idx val="0"/>
          <c:order val="0"/>
          <c:tx>
            <c:v>Count</c:v>
          </c:tx>
          <c:spPr>
            <a:solidFill xmlns:a="http://schemas.openxmlformats.org/drawingml/2006/main">
              <a:srgbClr val="4F81BD"/>
            </a:solidFill>
          </c:spPr>
          <c:cat>
            <c:strRef>
              <c:f>'Analytics'!$A$12:$A$16</c:f>
              <c:strCache>
                <c:ptCount val="0"/>
              </c:strCache>
            </c:strRef>
          </c:cat>
          <c:val>
            <c:numRef>
              <c:f>'Analytics'!$B$12:$B$16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Problem locations</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barChart>
        <c:barDir val="col"/>
        <c:varyColors val="0"/>
        <c:ser>
          <c:idx val="0"/>
          <c:order val="0"/>
          <c:tx>
            <c:v>Mentions</c:v>
          </c:tx>
          <c:spPr>
            <a:solidFill xmlns:a="http://schemas.openxmlformats.org/drawingml/2006/main">
              <a:srgbClr val="4F81BD"/>
            </a:solidFill>
          </c:spPr>
          <c:cat>
            <c:strRef>
              <c:f>'Analytics'!$A$27:$A$34</c:f>
              <c:strCache>
                <c:ptCount val="0"/>
              </c:strCache>
            </c:strRef>
          </c:cat>
          <c:val>
            <c:numRef>
              <c:f>'Analytics'!$B$27:$B$34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Actions taken during pickup difficulty</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barChart>
        <c:barDir val="col"/>
        <c:varyColors val="0"/>
        <c:ser>
          <c:idx val="0"/>
          <c:order val="0"/>
          <c:tx>
            <c:v>Mentions</c:v>
          </c:tx>
          <c:spPr>
            <a:solidFill xmlns:a="http://schemas.openxmlformats.org/drawingml/2006/main">
              <a:srgbClr val="9BBB59"/>
            </a:solidFill>
          </c:spPr>
          <c:cat>
            <c:strRef>
              <c:f>'Analytics'!$A$45:$A$50</c:f>
              <c:strCache>
                <c:ptCount val="0"/>
              </c:strCache>
            </c:strRef>
          </c:cat>
          <c:val>
            <c:numRef>
              <c:f>'Analytics'!$B$45:$B$50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d43a6b9dd74df2"/>
        </a:graphicData>
      </a:graphic>
    </xdr:graphicFrame>
    <xdr:clientData/>
  </xdr:twoCellAnchor>
  <xdr:twoCellAnchor>
    <xdr:from>
      <xdr:col>3</xdr:col>
      <xdr:colOff>0</xdr:colOff>
      <xdr:row>25</xdr:row>
      <xdr:rowOff>0</xdr:rowOff>
    </xdr:from>
    <xdr:to>
      <xdr:col>12</xdr:col>
      <xdr:colOff>0</xdr:colOff>
      <xdr:row>41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628cd2f1eb4e77"/>
        </a:graphicData>
      </a:graphic>
    </xdr:graphicFrame>
    <xdr:clientData/>
  </xdr:twoCellAnchor>
  <xdr:twoCellAnchor>
    <xdr:from>
      <xdr:col>3</xdr:col>
      <xdr:colOff>0</xdr:colOff>
      <xdr:row>43</xdr:row>
      <xdr:rowOff>0</xdr:rowOff>
    </xdr:from>
    <xdr:to>
      <xdr:col>8</xdr:col>
      <xdr:colOff>0</xdr:colOff>
      <xdr:row>59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d65fc15a5647cb"/>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9eb1a6494b4d4051" /></Relationships>
</file>

<file path=xl/worksheets/sheet1.xml><?xml version="1.0" encoding="utf-8"?>
<x:worksheet xmlns:x="http://schemas.openxmlformats.org/spreadsheetml/2006/main">
  <x:sheetFormatPr defaultColWidth="12.630000114440918" defaultRowHeight="15.75"/>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31.8799991607666" customWidth="1"/>
    <x:col min="14" max="14" width="39.130001068115234" customWidth="1"/>
    <x:col min="16" max="16" width="47.75" customWidth="1"/>
  </x:cols>
  <x:sheetData>
    <x:row r="1">
      <x:c r="A1" s="1" t="str">
        <x:v>timestamp</x:v>
      </x:c>
      <x:c r="B1" s="1" t="str">
        <x:v>language</x:v>
      </x:c>
      <x:c r="C1" s="1" t="str">
        <x:v>role</x:v>
      </x:c>
      <x:c r="D1" s="1" t="str">
        <x:v>city</x:v>
      </x:c>
      <x:c r="E1" s="1" t="str">
        <x:v>cityOther</x:v>
      </x:c>
      <x:c r="F1" s="1" t="str">
        <x:v>scope4wheeler</x:v>
      </x:c>
      <x:c r="G1" s="1" t="str">
        <x:v>difficulty</x:v>
      </x:c>
      <x:c r="H1" s="1" t="str">
        <x:v>story</x:v>
      </x:c>
      <x:c r="I1" s="1" t="str">
        <x:v>location</x:v>
      </x:c>
      <x:c r="J1" s="1" t="str">
        <x:v>cause</x:v>
      </x:c>
      <x:c r="K1" s="1" t="str">
        <x:v>actions</x:v>
      </x:c>
      <x:c r="L1" s="1" t="str">
        <x:v>actionsOther</x:v>
      </x:c>
      <x:c r="M1" s="1" t="str">
        <x:v>timeLostMinutes</x:v>
      </x:c>
      <x:c r="N1" s="1" t="str">
        <x:v>helped</x:v>
      </x:c>
      <x:c r="O1" s="1" t="str">
        <x:v>repeatOccurrence</x:v>
      </x:c>
      <x:c r="P1" s="1" t="str">
        <x:v>more</x:v>
      </x:c>
      <x:c r="Q1" s="1" t="str">
        <x:v>followupOk</x:v>
      </x:c>
      <x:c r="R1" s="1" t="str">
        <x:v>contact</x:v>
      </x:c>
      <x:c r="S1"/>
      <x:c r="T1"/>
      <x:c r="U1"/>
      <x:c r="V1"/>
      <x:c r="W1"/>
      <x:c r="X1"/>
      <x:c r="Y1"/>
    </x:row>
    <x:row r="2">
      <x:c r="A2" s="2" t="str">
        <x:v>TEST-2026-09-17T00:00:00.000Z</x:v>
      </x:c>
      <x:c r="B2" s="1" t="str">
        <x:v>en</x:v>
      </x:c>
      <x:c r="C2" s="1" t="str">
        <x:v>rider</x:v>
      </x:c>
      <x:c r="D2" s="1" t="str">
        <x:v>hyderabad</x:v>
      </x:c>
      <x:c r="E2"/>
      <x:c r="F2" s="1" t="str">
        <x:v>yes</x:v>
      </x:c>
      <x:c r="G2" s="1" t="str">
        <x:v>no</x:v>
      </x:c>
      <x:c r="H2"/>
      <x:c r="I2"/>
      <x:c r="J2"/>
      <x:c r="K2"/>
      <x:c r="L2"/>
      <x:c r="M2"/>
      <x:c r="N2"/>
      <x:c r="O2"/>
      <x:c r="P2" s="1" t="str">
        <x:v>TEST SUBMISSION - safe to delete this row</x:v>
      </x:c>
      <x:c r="Q2" s="1" t="str">
        <x:v>no</x:v>
      </x:c>
      <x:c r="R2"/>
      <x:c r="S2"/>
      <x:c r="T2"/>
      <x:c r="U2"/>
      <x:c r="V2"/>
      <x:c r="W2"/>
      <x:c r="X2"/>
      <x:c r="Y2"/>
    </x:row>
    <x:row r="3">
      <x:c r="A3" s="3"/>
      <x:c r="B3"/>
      <x:c r="C3"/>
      <x:c r="D3"/>
      <x:c r="E3"/>
      <x:c r="F3"/>
      <x:c r="G3"/>
      <x:c r="H3"/>
      <x:c r="I3"/>
      <x:c r="J3"/>
      <x:c r="K3"/>
      <x:c r="L3"/>
      <x:c r="M3"/>
      <x:c r="N3"/>
      <x:c r="O3"/>
      <x:c r="P3" s="1" t="str">
        <x:v>raw test, no -L</x:v>
      </x:c>
      <x:c r="Q3"/>
      <x:c r="R3"/>
      <x:c r="S3"/>
      <x:c r="T3"/>
      <x:c r="U3"/>
      <x:c r="V3"/>
      <x:c r="W3"/>
      <x:c r="X3"/>
      <x:c r="Y3"/>
    </x:row>
    <x:row r="4">
      <x:c r="A4" s="2" t="n">
        <x:v>46282.13739380787</x:v>
      </x:c>
      <x:c r="B4" s="1" t="str">
        <x:v>en</x:v>
      </x:c>
      <x:c r="C4" s="1" t="str">
        <x:v>rider</x:v>
      </x:c>
      <x:c r="D4" s="1" t="str">
        <x:v>hyderabad</x:v>
      </x:c>
      <x:c r="E4"/>
      <x:c r="F4" s="1" t="str">
        <x:v>yes</x:v>
      </x:c>
      <x:c r="G4" s="1" t="str">
        <x:v>no</x:v>
      </x:c>
      <x:c r="H4"/>
      <x:c r="I4"/>
      <x:c r="J4"/>
      <x:c r="K4"/>
      <x:c r="L4"/>
      <x:c r="M4"/>
      <x:c r="N4"/>
      <x:c r="O4"/>
      <x:c r="P4"/>
      <x:c r="Q4" s="1" t="str">
        <x:v>no</x:v>
      </x:c>
      <x:c r="R4"/>
      <x:c r="S4"/>
      <x:c r="T4"/>
      <x:c r="U4"/>
      <x:c r="V4"/>
      <x:c r="W4"/>
      <x:c r="X4"/>
      <x:c r="Y4"/>
    </x:row>
    <x:row r="5">
      <x:c r="A5" s="2" t="n">
        <x:v>46282.147941180556</x:v>
      </x:c>
      <x:c r="B5" s="1" t="str">
        <x:v>en</x:v>
      </x:c>
      <x:c r="C5" s="1" t="str">
        <x:v>rider</x:v>
      </x:c>
      <x:c r="D5" s="1" t="str">
        <x:v>hyderabad</x:v>
      </x:c>
      <x:c r="E5"/>
      <x:c r="F5" s="1" t="str">
        <x:v>yes</x:v>
      </x:c>
      <x:c r="G5" s="1" t="str">
        <x:v>yes</x:v>
      </x:c>
      <x:c r="H5"/>
      <x:c r="I5" s="1" t="str">
        <x:v>mall</x:v>
      </x:c>
      <x:c r="J5"/>
      <x:c r="K5" s="1" t="str">
        <x:v>called</x:v>
      </x:c>
      <x:c r="L5"/>
      <x:c r="M5"/>
      <x:c r="N5" s="1" t="str">
        <x:v>driver_moved</x:v>
      </x:c>
      <x:c r="O5" s="1" t="str">
        <x:v>no</x:v>
      </x:c>
      <x:c r="P5"/>
      <x:c r="Q5" s="1" t="str">
        <x:v>no</x:v>
      </x:c>
      <x:c r="R5"/>
      <x:c r="S5"/>
      <x:c r="T5"/>
      <x:c r="U5"/>
      <x:c r="V5"/>
      <x:c r="W5"/>
      <x:c r="X5"/>
      <x:c r="Y5"/>
    </x:row>
    <x:row r="6">
      <x:c r="A6" s="2" t="n">
        <x:v>46282.15152380787</x:v>
      </x:c>
      <x:c r="B6" s="1" t="str">
        <x:v>en</x:v>
      </x:c>
      <x:c r="C6" s="1" t="str">
        <x:v>rider</x:v>
      </x:c>
      <x:c r="D6" s="1" t="str">
        <x:v>hyderabad</x:v>
      </x:c>
      <x:c r="E6"/>
      <x:c r="F6" s="1" t="str">
        <x:v>yes</x:v>
      </x:c>
      <x:c r="G6" s="1" t="str">
        <x:v>yes</x:v>
      </x:c>
      <x:c r="H6"/>
      <x:c r="I6" s="1" t="str">
        <x:v>residential</x:v>
      </x:c>
      <x:c r="J6"/>
      <x:c r="K6" s="1" t="str">
        <x:v>moved</x:v>
      </x:c>
      <x:c r="L6"/>
      <x:c r="M6"/>
      <x:c r="N6" s="1" t="str">
        <x:v>called_messaged</x:v>
      </x:c>
      <x:c r="O6" s="1" t="str">
        <x:v>yes</x:v>
      </x:c>
      <x:c r="P6"/>
      <x:c r="Q6" s="1" t="str">
        <x:v>no</x:v>
      </x:c>
      <x:c r="R6"/>
      <x:c r="S6"/>
      <x:c r="T6"/>
      <x:c r="U6"/>
      <x:c r="V6"/>
      <x:c r="W6"/>
      <x:c r="X6"/>
      <x:c r="Y6"/>
    </x:row>
    <x:row r="7">
      <x:c r="A7" s="2" t="n">
        <x:v>46282.16055638889</x:v>
      </x:c>
      <x:c r="B7" s="1" t="str">
        <x:v>en</x:v>
      </x:c>
      <x:c r="C7" s="1" t="str">
        <x:v>rider</x:v>
      </x:c>
      <x:c r="D7" s="1" t="str">
        <x:v>hyderabad</x:v>
      </x:c>
      <x:c r="E7"/>
      <x:c r="F7" s="1" t="str">
        <x:v>yes</x:v>
      </x:c>
      <x:c r="G7" s="1" t="str">
        <x:v>yes</x:v>
      </x:c>
      <x:c r="H7"/>
      <x:c r="I7" s="1" t="str">
        <x:v>airport</x:v>
      </x:c>
      <x:c r="J7"/>
      <x:c r="K7" s="1" t="str">
        <x:v>called</x:v>
      </x:c>
      <x:c r="L7"/>
      <x:c r="M7"/>
      <x:c r="N7" s="1" t="str">
        <x:v>called_messaged</x:v>
      </x:c>
      <x:c r="O7" s="1" t="str">
        <x:v>yes</x:v>
      </x:c>
      <x:c r="P7"/>
      <x:c r="Q7" s="1" t="str">
        <x:v>no</x:v>
      </x:c>
      <x:c r="R7"/>
      <x:c r="S7"/>
      <x:c r="T7"/>
      <x:c r="U7"/>
      <x:c r="V7"/>
      <x:c r="W7"/>
      <x:c r="X7"/>
      <x:c r="Y7"/>
    </x:row>
    <x:row r="8">
      <x:c r="A8" s="2" t="n">
        <x:v>46282.161004664355</x:v>
      </x:c>
      <x:c r="B8" s="1" t="str">
        <x:v>en</x:v>
      </x:c>
      <x:c r="C8" s="1" t="str">
        <x:v>rider</x:v>
      </x:c>
      <x:c r="D8" s="1" t="str">
        <x:v>hyderabad</x:v>
      </x:c>
      <x:c r="E8"/>
      <x:c r="F8" s="1" t="str">
        <x:v>yes</x:v>
      </x:c>
      <x:c r="G8" s="1" t="str">
        <x:v>no</x:v>
      </x:c>
      <x:c r="H8"/>
      <x:c r="I8"/>
      <x:c r="J8"/>
      <x:c r="K8"/>
      <x:c r="L8"/>
      <x:c r="M8"/>
      <x:c r="N8"/>
      <x:c r="O8"/>
      <x:c r="P8"/>
      <x:c r="Q8" s="1" t="str">
        <x:v>no</x:v>
      </x:c>
      <x:c r="R8"/>
      <x:c r="S8"/>
      <x:c r="T8"/>
      <x:c r="U8"/>
      <x:c r="V8"/>
      <x:c r="W8"/>
      <x:c r="X8"/>
      <x:c r="Y8"/>
    </x:row>
    <x:row r="9">
      <x:c r="A9" s="2" t="n">
        <x:v>46282.16923814815</x:v>
      </x:c>
      <x:c r="B9" s="1" t="str">
        <x:v>en</x:v>
      </x:c>
      <x:c r="C9" s="1" t="str">
        <x:v>rider</x:v>
      </x:c>
      <x:c r="D9" s="1" t="str">
        <x:v>hyderabad</x:v>
      </x:c>
      <x:c r="E9"/>
      <x:c r="F9" s="1" t="str">
        <x:v>no</x:v>
      </x:c>
      <x:c r="G9" s="1" t="str">
        <x:v>no</x:v>
      </x:c>
      <x:c r="H9"/>
      <x:c r="I9"/>
      <x:c r="J9"/>
      <x:c r="K9"/>
      <x:c r="L9"/>
      <x:c r="M9"/>
      <x:c r="N9"/>
      <x:c r="O9"/>
      <x:c r="P9"/>
      <x:c r="Q9" s="1" t="str">
        <x:v>yes</x:v>
      </x:c>
      <x:c r="R9" s="1" t="n">
        <x:v>9550144540</x:v>
      </x:c>
      <x:c r="S9"/>
      <x:c r="T9"/>
      <x:c r="U9"/>
      <x:c r="V9"/>
      <x:c r="W9"/>
      <x:c r="X9"/>
      <x:c r="Y9"/>
    </x:row>
    <x:row r="10">
      <x:c r="A10" s="2" t="n">
        <x:v>46282.17033681713</x:v>
      </x:c>
      <x:c r="B10" s="1" t="str">
        <x:v>en</x:v>
      </x:c>
      <x:c r="C10" s="1" t="str">
        <x:v>rider</x:v>
      </x:c>
      <x:c r="D10" s="1" t="str">
        <x:v>other</x:v>
      </x:c>
      <x:c r="E10" s="1" t="str">
        <x:v>Bangalore </x:v>
      </x:c>
      <x:c r="F10" s="1" t="str">
        <x:v>yes</x:v>
      </x:c>
      <x:c r="G10" s="1" t="str">
        <x:v>yes</x:v>
      </x:c>
      <x:c r="H10"/>
      <x:c r="I10" s="1" t="str">
        <x:v>mall</x:v>
      </x:c>
      <x:c r="J10"/>
      <x:c r="K10" s="1" t="str">
        <x:v>called</x:v>
      </x:c>
      <x:c r="L10"/>
      <x:c r="M10"/>
      <x:c r="N10" s="1" t="str">
        <x:v>nothing</x:v>
      </x:c>
      <x:c r="O10" s="1" t="str">
        <x:v>yes</x:v>
      </x:c>
      <x:c r="P10"/>
      <x:c r="Q10" s="1" t="str">
        <x:v>yes</x:v>
      </x:c>
      <x:c r="R10" s="1" t="n">
        <x:v>7996633919</x:v>
      </x:c>
      <x:c r="S10"/>
      <x:c r="T10"/>
      <x:c r="U10"/>
      <x:c r="V10"/>
      <x:c r="W10"/>
      <x:c r="X10"/>
      <x:c r="Y10"/>
    </x:row>
    <x:row r="11">
      <x:c r="A11" s="2" t="n">
        <x:v>46282.17277697917</x:v>
      </x:c>
      <x:c r="B11" s="1" t="str">
        <x:v>en</x:v>
      </x:c>
      <x:c r="C11" s="1" t="str">
        <x:v>rider</x:v>
      </x:c>
      <x:c r="D11" s="1" t="str">
        <x:v>hyderabad</x:v>
      </x:c>
      <x:c r="E11"/>
      <x:c r="F11" s="1" t="str">
        <x:v>yes</x:v>
      </x:c>
      <x:c r="G11" s="1" t="str">
        <x:v>yes</x:v>
      </x:c>
      <x:c r="H11"/>
      <x:c r="I11" s="1" t="str">
        <x:v>office</x:v>
      </x:c>
      <x:c r="J11"/>
      <x:c r="K11" s="1" t="str">
        <x:v>waited, messaged, called</x:v>
      </x:c>
      <x:c r="L11"/>
      <x:c r="M11"/>
      <x:c r="N11" s="1" t="str">
        <x:v>landmark, called_messaged</x:v>
      </x:c>
      <x:c r="O11" s="1" t="str">
        <x:v>yes</x:v>
      </x:c>
      <x:c r="P11"/>
      <x:c r="Q11" s="1" t="str">
        <x:v>yes</x:v>
      </x:c>
      <x:c r="R11"/>
      <x:c r="S11"/>
      <x:c r="T11"/>
      <x:c r="U11"/>
      <x:c r="V11"/>
      <x:c r="W11"/>
      <x:c r="X11"/>
      <x:c r="Y11"/>
    </x:row>
    <x:row r="12">
      <x:c r="A12" s="2" t="n">
        <x:v>46282.173833506946</x:v>
      </x:c>
      <x:c r="B12" s="1" t="str">
        <x:v>en</x:v>
      </x:c>
      <x:c r="C12" s="1" t="str">
        <x:v>rider</x:v>
      </x:c>
      <x:c r="D12" s="1" t="str">
        <x:v>other</x:v>
      </x:c>
      <x:c r="E12" s="1" t="str">
        <x:v>Bangalore </x:v>
      </x:c>
      <x:c r="F12" s="1" t="str">
        <x:v>yes</x:v>
      </x:c>
      <x:c r="G12" s="1" t="str">
        <x:v>no</x:v>
      </x:c>
      <x:c r="H12"/>
      <x:c r="I12"/>
      <x:c r="J12"/>
      <x:c r="K12"/>
      <x:c r="L12"/>
      <x:c r="M12"/>
      <x:c r="N12"/>
      <x:c r="O12"/>
      <x:c r="P12"/>
      <x:c r="Q12" s="1" t="str">
        <x:v>yes</x:v>
      </x:c>
      <x:c r="R12"/>
      <x:c r="S12"/>
      <x:c r="T12"/>
      <x:c r="U12"/>
      <x:c r="V12"/>
      <x:c r="W12"/>
      <x:c r="X12"/>
      <x:c r="Y12"/>
    </x:row>
    <x:row r="13">
      <x:c r="A13" s="2" t="n">
        <x:v>46282.17421592592</x:v>
      </x:c>
      <x:c r="B13" s="1" t="str">
        <x:v>en</x:v>
      </x:c>
      <x:c r="C13" s="1" t="str">
        <x:v>rider</x:v>
      </x:c>
      <x:c r="D13" s="1" t="str">
        <x:v>other</x:v>
      </x:c>
      <x:c r="E13" s="1" t="str">
        <x:v>Kolkata</x:v>
      </x:c>
      <x:c r="F13" s="1" t="str">
        <x:v>yes</x:v>
      </x:c>
      <x:c r="G13" s="1" t="str">
        <x:v>yes</x:v>
      </x:c>
      <x:c r="H13"/>
      <x:c r="I13" s="1" t="str">
        <x:v>station</x:v>
      </x:c>
      <x:c r="J13"/>
      <x:c r="K13" s="1" t="str">
        <x:v>called, cancelled</x:v>
      </x:c>
      <x:c r="L13"/>
      <x:c r="M13"/>
      <x:c r="N13" s="1" t="str">
        <x:v>called_messaged, nothing</x:v>
      </x:c>
      <x:c r="O13" s="1" t="str">
        <x:v>yes</x:v>
      </x:c>
      <x:c r="P13"/>
      <x:c r="Q13" s="1" t="str">
        <x:v>yes</x:v>
      </x:c>
      <x:c r="R13"/>
      <x:c r="S13"/>
      <x:c r="T13"/>
      <x:c r="U13"/>
      <x:c r="V13"/>
      <x:c r="W13"/>
      <x:c r="X13"/>
      <x:c r="Y13"/>
    </x:row>
    <x:row r="14">
      <x:c r="A14" s="2" t="n">
        <x:v>46282.175485671294</x:v>
      </x:c>
      <x:c r="B14" s="1" t="str">
        <x:v>en</x:v>
      </x:c>
      <x:c r="C14" s="1" t="str">
        <x:v>rider</x:v>
      </x:c>
      <x:c r="D14" s="1" t="str">
        <x:v>hyderabad</x:v>
      </x:c>
      <x:c r="E14"/>
      <x:c r="F14" s="1" t="str">
        <x:v>no</x:v>
      </x:c>
      <x:c r="G14" s="1" t="str">
        <x:v>no</x:v>
      </x:c>
      <x:c r="H14"/>
      <x:c r="I14"/>
      <x:c r="J14"/>
      <x:c r="K14"/>
      <x:c r="L14"/>
      <x:c r="M14"/>
      <x:c r="N14"/>
      <x:c r="O14"/>
      <x:c r="P14" s="1" t="str">
        <x:v>After calling n asking by the driver the destination... they cancelled the ride... Faced the problem many times especially late hours and peak hours </x:v>
      </x:c>
      <x:c r="Q14" s="1" t="str">
        <x:v>yes</x:v>
      </x:c>
      <x:c r="R14" s="1" t="str">
        <x:v>sakurukausalya@gmail.com</x:v>
      </x:c>
      <x:c r="S14"/>
      <x:c r="T14"/>
      <x:c r="U14"/>
      <x:c r="V14"/>
      <x:c r="W14"/>
      <x:c r="X14"/>
      <x:c r="Y14"/>
    </x:row>
    <x:row r="15">
      <x:c r="A15" s="2" t="n">
        <x:v>46282.175512581016</x:v>
      </x:c>
      <x:c r="B15" s="1" t="str">
        <x:v>en</x:v>
      </x:c>
      <x:c r="C15" s="1" t="str">
        <x:v>rider</x:v>
      </x:c>
      <x:c r="D15" s="1" t="str">
        <x:v>hyderabad</x:v>
      </x:c>
      <x:c r="E15"/>
      <x:c r="F15" s="1" t="str">
        <x:v>no</x:v>
      </x:c>
      <x:c r="G15" s="1" t="str">
        <x:v>yes</x:v>
      </x:c>
      <x:c r="H15"/>
      <x:c r="I15" s="1" t="str">
        <x:v>station</x:v>
      </x:c>
      <x:c r="J15"/>
      <x:c r="K15" s="1" t="str">
        <x:v>waited</x:v>
      </x:c>
      <x:c r="L15"/>
      <x:c r="M15"/>
      <x:c r="N15" s="1" t="str">
        <x:v>called_messaged, landmark</x:v>
      </x:c>
      <x:c r="O15" s="1" t="str">
        <x:v>yes</x:v>
      </x:c>
      <x:c r="P15" s="1" t="str">
        <x:v>No</x:v>
      </x:c>
      <x:c r="Q15" s="1" t="str">
        <x:v>no</x:v>
      </x:c>
      <x:c r="R15"/>
      <x:c r="S15"/>
      <x:c r="T15"/>
      <x:c r="U15"/>
      <x:c r="V15"/>
      <x:c r="W15"/>
      <x:c r="X15"/>
      <x:c r="Y15"/>
    </x:row>
    <x:row r="16">
      <x:c r="A16" s="2" t="n">
        <x:v>46282.17777689815</x:v>
      </x:c>
      <x:c r="B16" s="1" t="str">
        <x:v>te</x:v>
      </x:c>
      <x:c r="C16" s="1" t="str">
        <x:v>rider</x:v>
      </x:c>
      <x:c r="D16" s="1" t="str">
        <x:v>other</x:v>
      </x:c>
      <x:c r="E16" s="1" t="str">
        <x:v>VIZAG</x:v>
      </x:c>
      <x:c r="F16" s="1" t="str">
        <x:v>yes</x:v>
      </x:c>
      <x:c r="G16" s="1" t="str">
        <x:v>no</x:v>
      </x:c>
      <x:c r="H16"/>
      <x:c r="I16"/>
      <x:c r="J16"/>
      <x:c r="K16"/>
      <x:c r="L16"/>
      <x:c r="M16"/>
      <x:c r="N16"/>
      <x:c r="O16"/>
      <x:c r="P16" s="1" t="str">
        <x:v>NOTHING</x:v>
      </x:c>
      <x:c r="Q16" s="1" t="str">
        <x:v>yes</x:v>
      </x:c>
      <x:c r="R16" s="1" t="n">
        <x:v>9885255255</x:v>
      </x:c>
      <x:c r="S16"/>
      <x:c r="T16"/>
      <x:c r="U16"/>
      <x:c r="V16"/>
      <x:c r="W16"/>
      <x:c r="X16"/>
      <x:c r="Y16"/>
    </x:row>
    <x:row r="17">
      <x:c r="A17" s="2" t="n">
        <x:v>46282.1795927662</x:v>
      </x:c>
      <x:c r="B17" s="1" t="str">
        <x:v>en</x:v>
      </x:c>
      <x:c r="C17" s="1" t="str">
        <x:v>rider</x:v>
      </x:c>
      <x:c r="D17" s="1" t="str">
        <x:v>other</x:v>
      </x:c>
      <x:c r="E17" s="1" t="str">
        <x:v>Vizag</x:v>
      </x:c>
      <x:c r="F17" s="1" t="str">
        <x:v>yes</x:v>
      </x:c>
      <x:c r="G17" s="1" t="str">
        <x:v>yes</x:v>
      </x:c>
      <x:c r="H17"/>
      <x:c r="I17" s="1" t="str">
        <x:v>airport</x:v>
      </x:c>
      <x:c r="J17"/>
      <x:c r="K17" s="1" t="str">
        <x:v>called, moved</x:v>
      </x:c>
      <x:c r="L17"/>
      <x:c r="M17"/>
      <x:c r="N17" s="1" t="str">
        <x:v>called_messaged</x:v>
      </x:c>
      <x:c r="O17" s="1" t="str">
        <x:v>yes</x:v>
      </x:c>
      <x:c r="P17"/>
      <x:c r="Q17" s="1" t="str">
        <x:v>yes</x:v>
      </x:c>
      <x:c r="R17"/>
      <x:c r="S17"/>
      <x:c r="T17"/>
      <x:c r="U17"/>
      <x:c r="V17"/>
      <x:c r="W17"/>
      <x:c r="X17"/>
      <x:c r="Y17"/>
    </x:row>
    <x:row r="18">
      <x:c r="A18" s="2" t="n">
        <x:v>46282.18016902778</x:v>
      </x:c>
      <x:c r="B18" s="1" t="str">
        <x:v>en</x:v>
      </x:c>
      <x:c r="C18" s="1" t="str">
        <x:v>rider</x:v>
      </x:c>
      <x:c r="D18" s="1" t="str">
        <x:v>other</x:v>
      </x:c>
      <x:c r="E18" s="1" t="str">
        <x:v>VISAKHAPATNAM</x:v>
      </x:c>
      <x:c r="F18" s="1" t="str">
        <x:v>no</x:v>
      </x:c>
      <x:c r="G18" s="1" t="str">
        <x:v>yes</x:v>
      </x:c>
      <x:c r="H18"/>
      <x:c r="I18" s="1" t="str">
        <x:v>residential</x:v>
      </x:c>
      <x:c r="J18"/>
      <x:c r="K18" s="1" t="str">
        <x:v>cancelled</x:v>
      </x:c>
      <x:c r="L18"/>
      <x:c r="M18"/>
      <x:c r="N18" s="1" t="str">
        <x:v>driver_moved</x:v>
      </x:c>
      <x:c r="O18" s="1" t="str">
        <x:v>yes</x:v>
      </x:c>
      <x:c r="P18" s="1" t="str">
        <x:v>The number of the vehicle mentioned in the app is different from the vehicle carrying us.</x:v>
      </x:c>
      <x:c r="Q18" s="1" t="str">
        <x:v>yes</x:v>
      </x:c>
      <x:c r="R18" s="1" t="n">
        <x:v>7893223423</x:v>
      </x:c>
      <x:c r="S18"/>
      <x:c r="T18"/>
      <x:c r="U18"/>
      <x:c r="V18"/>
      <x:c r="W18"/>
      <x:c r="X18"/>
      <x:c r="Y18"/>
    </x:row>
    <x:row r="19">
      <x:c r="A19" s="2" t="n">
        <x:v>46282.181402939816</x:v>
      </x:c>
      <x:c r="B19" s="1" t="str">
        <x:v>en</x:v>
      </x:c>
      <x:c r="C19" s="1" t="str">
        <x:v>rider</x:v>
      </x:c>
      <x:c r="D19" s="1" t="str">
        <x:v>hyderabad</x:v>
      </x:c>
      <x:c r="E19"/>
      <x:c r="F19" s="1" t="str">
        <x:v>yes</x:v>
      </x:c>
      <x:c r="G19" s="1" t="str">
        <x:v>yes</x:v>
      </x:c>
      <x:c r="H19"/>
      <x:c r="I19" s="1" t="str">
        <x:v>mall</x:v>
      </x:c>
      <x:c r="J19"/>
      <x:c r="K19" s="1" t="str">
        <x:v>moved</x:v>
      </x:c>
      <x:c r="L19"/>
      <x:c r="M19"/>
      <x:c r="N19" s="1" t="str">
        <x:v>called_messaged</x:v>
      </x:c>
      <x:c r="O19" s="1" t="str">
        <x:v>yes</x:v>
      </x:c>
      <x:c r="P19"/>
      <x:c r="Q19" s="1" t="str">
        <x:v>no</x:v>
      </x:c>
      <x:c r="R19"/>
      <x:c r="S19"/>
      <x:c r="T19"/>
      <x:c r="U19"/>
      <x:c r="V19"/>
      <x:c r="W19"/>
      <x:c r="X19"/>
      <x:c r="Y19"/>
    </x:row>
    <x:row r="20">
      <x:c r="A20" s="2" t="n">
        <x:v>46282.18465668982</x:v>
      </x:c>
      <x:c r="B20" s="1" t="str">
        <x:v>en</x:v>
      </x:c>
      <x:c r="C20" s="1" t="str">
        <x:v>rider</x:v>
      </x:c>
      <x:c r="D20" s="1" t="str">
        <x:v>hyderabad</x:v>
      </x:c>
      <x:c r="E20"/>
      <x:c r="F20" s="1" t="str">
        <x:v>yes</x:v>
      </x:c>
      <x:c r="G20" s="1" t="str">
        <x:v>yes</x:v>
      </x:c>
      <x:c r="H20"/>
      <x:c r="I20" s="1" t="str">
        <x:v>office</x:v>
      </x:c>
      <x:c r="J20"/>
      <x:c r="K20" s="1" t="str">
        <x:v>called</x:v>
      </x:c>
      <x:c r="L20"/>
      <x:c r="M20"/>
      <x:c r="N20" s="1" t="str">
        <x:v>called_messaged</x:v>
      </x:c>
      <x:c r="O20" s="1" t="str">
        <x:v>yes</x:v>
      </x:c>
      <x:c r="P20"/>
      <x:c r="Q20" s="1" t="str">
        <x:v>no</x:v>
      </x:c>
      <x:c r="R20"/>
      <x:c r="S20"/>
      <x:c r="T20"/>
      <x:c r="U20"/>
      <x:c r="V20"/>
      <x:c r="W20"/>
      <x:c r="X20"/>
      <x:c r="Y20"/>
    </x:row>
    <x:row r="21">
      <x:c r="A21" s="2" t="n">
        <x:v>46282.18530243055</x:v>
      </x:c>
      <x:c r="B21" s="1" t="str">
        <x:v>en</x:v>
      </x:c>
      <x:c r="C21" s="1" t="str">
        <x:v>rider</x:v>
      </x:c>
      <x:c r="D21" s="1" t="str">
        <x:v>other</x:v>
      </x:c>
      <x:c r="E21" s="1" t="str">
        <x:v>Kolkata</x:v>
      </x:c>
      <x:c r="F21" s="1" t="str">
        <x:v>yes</x:v>
      </x:c>
      <x:c r="G21" s="1" t="str">
        <x:v>yes</x:v>
      </x:c>
      <x:c r="H21"/>
      <x:c r="I21" s="1" t="str">
        <x:v>office</x:v>
      </x:c>
      <x:c r="J21"/>
      <x:c r="K21" s="1" t="str">
        <x:v>called, messaged, moved, waited</x:v>
      </x:c>
      <x:c r="L21"/>
      <x:c r="M21"/>
      <x:c r="N21" s="1" t="str">
        <x:v>called_messaged, driver_moved, staff, nothing</x:v>
      </x:c>
      <x:c r="O21" s="1" t="str">
        <x:v>yes</x:v>
      </x:c>
      <x:c r="P21"/>
      <x:c r="Q21" s="1" t="str">
        <x:v>yes</x:v>
      </x:c>
      <x:c r="R21" s="1" t="str">
        <x:v>sarkarjoydip74@gmail.com</x:v>
      </x:c>
      <x:c r="S21"/>
      <x:c r="T21"/>
      <x:c r="U21"/>
      <x:c r="V21"/>
      <x:c r="W21"/>
      <x:c r="X21"/>
      <x:c r="Y21"/>
    </x:row>
    <x:row r="22">
      <x:c r="A22" s="2" t="n">
        <x:v>46282.188201226854</x:v>
      </x:c>
      <x:c r="B22" s="1" t="str">
        <x:v>en</x:v>
      </x:c>
      <x:c r="C22" s="1" t="str">
        <x:v>rider</x:v>
      </x:c>
      <x:c r="D22" s="1" t="str">
        <x:v>hyderabad</x:v>
      </x:c>
      <x:c r="E22"/>
      <x:c r="F22" s="1" t="str">
        <x:v>yes</x:v>
      </x:c>
      <x:c r="G22" s="1" t="str">
        <x:v>no</x:v>
      </x:c>
      <x:c r="H22"/>
      <x:c r="I22"/>
      <x:c r="J22"/>
      <x:c r="K22"/>
      <x:c r="L22"/>
      <x:c r="M22"/>
      <x:c r="N22"/>
      <x:c r="O22"/>
      <x:c r="P22" s="1" t="str">
        <x:v>Nothing</x:v>
      </x:c>
      <x:c r="Q22" s="1" t="str">
        <x:v>yes</x:v>
      </x:c>
      <x:c r="R22" s="1" t="str">
        <x:v>Kotikalapudi2000@rediffmail. com</x:v>
      </x:c>
      <x:c r="S22"/>
      <x:c r="T22"/>
      <x:c r="U22"/>
      <x:c r="V22"/>
      <x:c r="W22"/>
      <x:c r="X22"/>
      <x:c r="Y22"/>
    </x:row>
    <x:row r="23">
      <x:c r="A23" s="2" t="n">
        <x:v>46282.188535</x:v>
      </x:c>
      <x:c r="B23" s="1" t="str">
        <x:v>en</x:v>
      </x:c>
      <x:c r="C23" s="1" t="str">
        <x:v>rider</x:v>
      </x:c>
      <x:c r="D23" s="1" t="str">
        <x:v>hyderabad</x:v>
      </x:c>
      <x:c r="E23"/>
      <x:c r="F23" s="1" t="str">
        <x:v>yes</x:v>
      </x:c>
      <x:c r="G23" s="1" t="str">
        <x:v>yes</x:v>
      </x:c>
      <x:c r="H23"/>
      <x:c r="I23" s="1" t="str">
        <x:v>airport, office</x:v>
      </x:c>
      <x:c r="J23"/>
      <x:c r="K23" s="1" t="str">
        <x:v>called</x:v>
      </x:c>
      <x:c r="L23"/>
      <x:c r="M23"/>
      <x:c r="N23" s="1" t="str">
        <x:v>called_messaged</x:v>
      </x:c>
      <x:c r="O23" s="1" t="str">
        <x:v>yes</x:v>
      </x:c>
      <x:c r="P23"/>
      <x:c r="Q23" s="1" t="str">
        <x:v>no</x:v>
      </x:c>
      <x:c r="R23"/>
      <x:c r="S23"/>
      <x:c r="T23"/>
      <x:c r="U23"/>
      <x:c r="V23"/>
      <x:c r="W23"/>
      <x:c r="X23"/>
      <x:c r="Y23"/>
    </x:row>
    <x:row r="24">
      <x:c r="A24" s="2" t="n">
        <x:v>46282.18948706018</x:v>
      </x:c>
      <x:c r="B24" s="1" t="str">
        <x:v>en</x:v>
      </x:c>
      <x:c r="C24" s="1" t="str">
        <x:v>rider</x:v>
      </x:c>
      <x:c r="D24" s="1" t="str">
        <x:v>hyderabad</x:v>
      </x:c>
      <x:c r="E24"/>
      <x:c r="F24" s="1" t="str">
        <x:v>yes</x:v>
      </x:c>
      <x:c r="G24" s="1" t="str">
        <x:v>no</x:v>
      </x:c>
      <x:c r="H24"/>
      <x:c r="I24"/>
      <x:c r="J24"/>
      <x:c r="K24"/>
      <x:c r="L24"/>
      <x:c r="M24"/>
      <x:c r="N24"/>
      <x:c r="O24"/>
      <x:c r="P24"/>
      <x:c r="Q24" s="1" t="str">
        <x:v>no</x:v>
      </x:c>
      <x:c r="R24"/>
      <x:c r="S24"/>
      <x:c r="T24"/>
      <x:c r="U24"/>
      <x:c r="V24"/>
      <x:c r="W24"/>
      <x:c r="X24"/>
      <x:c r="Y24"/>
    </x:row>
    <x:row r="25">
      <x:c r="A25" s="2" t="n">
        <x:v>46282.1932196412</x:v>
      </x:c>
      <x:c r="B25" s="1" t="str">
        <x:v>en</x:v>
      </x:c>
      <x:c r="C25" s="1" t="str">
        <x:v>rider</x:v>
      </x:c>
      <x:c r="D25" s="1" t="str">
        <x:v>other</x:v>
      </x:c>
      <x:c r="E25" s="1" t="str">
        <x:v>Visakhapatnam</x:v>
      </x:c>
      <x:c r="F25" s="1" t="str">
        <x:v>yes</x:v>
      </x:c>
      <x:c r="G25" s="1" t="str">
        <x:v>no</x:v>
      </x:c>
      <x:c r="H25"/>
      <x:c r="I25"/>
      <x:c r="J25"/>
      <x:c r="K25"/>
      <x:c r="L25"/>
      <x:c r="M25"/>
      <x:c r="N25"/>
      <x:c r="O25"/>
      <x:c r="P25"/>
      <x:c r="Q25" s="1" t="str">
        <x:v>no</x:v>
      </x:c>
      <x:c r="R25"/>
      <x:c r="S25"/>
      <x:c r="T25"/>
      <x:c r="U25"/>
      <x:c r="V25"/>
      <x:c r="W25"/>
      <x:c r="X25"/>
      <x:c r="Y25"/>
    </x:row>
    <x:row r="26">
      <x:c r="A26" s="2" t="n">
        <x:v>46282.19609798611</x:v>
      </x:c>
      <x:c r="B26" s="1" t="str">
        <x:v>en</x:v>
      </x:c>
      <x:c r="C26" s="1" t="str">
        <x:v>rider</x:v>
      </x:c>
      <x:c r="D26" s="1" t="str">
        <x:v>hyderabad</x:v>
      </x:c>
      <x:c r="E26"/>
      <x:c r="F26" s="1" t="str">
        <x:v>yes</x:v>
      </x:c>
      <x:c r="G26" s="1" t="str">
        <x:v>no</x:v>
      </x:c>
      <x:c r="H26"/>
      <x:c r="I26"/>
      <x:c r="J26"/>
      <x:c r="K26"/>
      <x:c r="L26"/>
      <x:c r="M26"/>
      <x:c r="N26"/>
      <x:c r="O26"/>
      <x:c r="P26" s="1" t="str">
        <x:v>No</x:v>
      </x:c>
      <x:c r="Q26" s="1" t="str">
        <x:v>yes</x:v>
      </x:c>
      <x:c r="R26"/>
      <x:c r="S26"/>
      <x:c r="T26"/>
      <x:c r="U26"/>
      <x:c r="V26"/>
      <x:c r="W26"/>
      <x:c r="X26"/>
      <x:c r="Y26"/>
    </x:row>
    <x:row r="27">
      <x:c r="A27" s="2" t="n">
        <x:v>46282.19734207176</x:v>
      </x:c>
      <x:c r="B27" s="1" t="str">
        <x:v>en</x:v>
      </x:c>
      <x:c r="C27" s="1" t="str">
        <x:v>rider</x:v>
      </x:c>
      <x:c r="D27" s="1" t="str">
        <x:v>other</x:v>
      </x:c>
      <x:c r="E27" s="1" t="str">
        <x:v>Kolkata</x:v>
      </x:c>
      <x:c r="F27" s="1" t="str">
        <x:v>yes</x:v>
      </x:c>
      <x:c r="G27" s="1" t="str">
        <x:v>yes</x:v>
      </x:c>
      <x:c r="H27"/>
      <x:c r="I27" s="1" t="str">
        <x:v>station</x:v>
      </x:c>
      <x:c r="J27"/>
      <x:c r="K27" s="1" t="str">
        <x:v>cancelled</x:v>
      </x:c>
      <x:c r="L27"/>
      <x:c r="M27"/>
      <x:c r="N27" s="1" t="str">
        <x:v>called_messaged</x:v>
      </x:c>
      <x:c r="O27" s="1" t="str">
        <x:v>yes</x:v>
      </x:c>
      <x:c r="P27" s="1" t="str">
        <x:v>I found Uber to be a better option than Ola</x:v>
      </x:c>
      <x:c r="Q27" s="1" t="str">
        <x:v>yes</x:v>
      </x:c>
      <x:c r="R27"/>
      <x:c r="S27"/>
      <x:c r="T27"/>
      <x:c r="U27"/>
      <x:c r="V27"/>
      <x:c r="W27"/>
      <x:c r="X27"/>
      <x:c r="Y27"/>
    </x:row>
    <x:row r="28">
      <x:c r="A28" s="2" t="n">
        <x:v>46282.197824097224</x:v>
      </x:c>
      <x:c r="B28" s="1" t="str">
        <x:v>en</x:v>
      </x:c>
      <x:c r="C28" s="1" t="str">
        <x:v>rider</x:v>
      </x:c>
      <x:c r="D28" s="1" t="str">
        <x:v>other</x:v>
      </x:c>
      <x:c r="E28" s="1" t="str">
        <x:v>Visakhapatnam</x:v>
      </x:c>
      <x:c r="F28" s="1" t="str">
        <x:v>yes</x:v>
      </x:c>
      <x:c r="G28" s="1" t="str">
        <x:v>no</x:v>
      </x:c>
      <x:c r="H28"/>
      <x:c r="I28"/>
      <x:c r="J28"/>
      <x:c r="K28"/>
      <x:c r="L28"/>
      <x:c r="M28"/>
      <x:c r="N28"/>
      <x:c r="O28"/>
      <x:c r="P28" s="1" t="str">
        <x:v>Most of the cars are not hygiene.  Riders who wish a hygiene vehicle are even forced to book Premium car which charges higher rate. Uber is not controlling this mafia. Its the prerequisite for the operator to maintain car in good condition all times</x:v>
      </x:c>
      <x:c r="Q28" s="1" t="str">
        <x:v>yes</x:v>
      </x:c>
      <x:c r="R28" s="1" t="str">
        <x:v>chandra@sarcmail.in</x:v>
      </x:c>
      <x:c r="S28"/>
      <x:c r="T28"/>
      <x:c r="U28"/>
      <x:c r="V28"/>
      <x:c r="W28"/>
      <x:c r="X28"/>
      <x:c r="Y28"/>
    </x:row>
    <x:row r="29">
      <x:c r="A29" s="2" t="n">
        <x:v>46282.198988703705</x:v>
      </x:c>
      <x:c r="B29" s="1" t="str">
        <x:v>en</x:v>
      </x:c>
      <x:c r="C29" s="1" t="str">
        <x:v>rider</x:v>
      </x:c>
      <x:c r="D29" s="1" t="str">
        <x:v>hyderabad</x:v>
      </x:c>
      <x:c r="E29"/>
      <x:c r="F29" s="1" t="str">
        <x:v>yes</x:v>
      </x:c>
      <x:c r="G29" s="1" t="str">
        <x:v>yes</x:v>
      </x:c>
      <x:c r="H29"/>
      <x:c r="I29" s="1" t="str">
        <x:v>airport</x:v>
      </x:c>
      <x:c r="J29"/>
      <x:c r="K29" s="1" t="str">
        <x:v>called</x:v>
      </x:c>
      <x:c r="L29"/>
      <x:c r="M29"/>
      <x:c r="N29" s="1" t="str">
        <x:v>called_messaged</x:v>
      </x:c>
      <x:c r="O29" s="1" t="str">
        <x:v>yes</x:v>
      </x:c>
      <x:c r="P29"/>
      <x:c r="Q29" s="1" t="str">
        <x:v>no</x:v>
      </x:c>
      <x:c r="R29"/>
      <x:c r="S29"/>
      <x:c r="T29"/>
      <x:c r="U29"/>
      <x:c r="V29"/>
      <x:c r="W29"/>
      <x:c r="X29"/>
      <x:c r="Y29"/>
    </x:row>
    <x:row r="30">
      <x:c r="A30" s="2" t="n">
        <x:v>46282.200011493056</x:v>
      </x:c>
      <x:c r="B30" s="1" t="str">
        <x:v>en</x:v>
      </x:c>
      <x:c r="C30" s="1" t="str">
        <x:v>rider</x:v>
      </x:c>
      <x:c r="D30" s="1" t="str">
        <x:v>other</x:v>
      </x:c>
      <x:c r="E30" s="1" t="str">
        <x:v>Benguluru, Delhi, Hyderabad </x:v>
      </x:c>
      <x:c r="F30" s="1" t="str">
        <x:v>no</x:v>
      </x:c>
      <x:c r="G30" s="1" t="str">
        <x:v>yes</x:v>
      </x:c>
      <x:c r="H30"/>
      <x:c r="I30" s="1" t="str">
        <x:v>hotel, airport, street</x:v>
      </x:c>
      <x:c r="J30"/>
      <x:c r="K30" s="1" t="str">
        <x:v>called, waited, cancelled, moved</x:v>
      </x:c>
      <x:c r="L30"/>
      <x:c r="M30"/>
      <x:c r="N30" s="1" t="str">
        <x:v>landmark, called_messaged</x:v>
      </x:c>
      <x:c r="O30" s="1" t="str">
        <x:v>yes</x:v>
      </x:c>
      <x:c r="P30" s="1" t="str">
        <x:v>On the whole the experience is good. Exceptions will always be there. </x:v>
      </x:c>
      <x:c r="Q30" s="1" t="str">
        <x:v>no</x:v>
      </x:c>
      <x:c r="R30"/>
      <x:c r="S30"/>
      <x:c r="T30"/>
      <x:c r="U30"/>
      <x:c r="V30"/>
      <x:c r="W30"/>
      <x:c r="X30"/>
      <x:c r="Y30"/>
    </x:row>
    <x:row r="31">
      <x:c r="A31" s="2" t="n">
        <x:v>46282.20037613426</x:v>
      </x:c>
      <x:c r="B31" s="1" t="str">
        <x:v>en</x:v>
      </x:c>
      <x:c r="C31" s="1" t="str">
        <x:v>rider</x:v>
      </x:c>
      <x:c r="D31" s="1" t="str">
        <x:v>other</x:v>
      </x:c>
      <x:c r="E31"/>
      <x:c r="F31" s="1" t="str">
        <x:v>yes</x:v>
      </x:c>
      <x:c r="G31" s="1" t="str">
        <x:v>no</x:v>
      </x:c>
      <x:c r="H31"/>
      <x:c r="I31"/>
      <x:c r="J31"/>
      <x:c r="K31"/>
      <x:c r="L31"/>
      <x:c r="M31"/>
      <x:c r="N31"/>
      <x:c r="O31"/>
      <x:c r="P31" s="1" t="str">
        <x:v>Once an overcharging incident by not going to the destination occured at Hyderabad 
</x:v>
      </x:c>
      <x:c r="Q31" s="1" t="str">
        <x:v>yes</x:v>
      </x:c>
      <x:c r="R31" s="1" t="n">
        <x:v>9447056365</x:v>
      </x:c>
      <x:c r="S31"/>
      <x:c r="T31"/>
      <x:c r="U31"/>
      <x:c r="V31"/>
      <x:c r="W31"/>
      <x:c r="X31"/>
      <x:c r="Y31"/>
    </x:row>
    <x:row r="32">
      <x:c r="A32" s="2" t="n">
        <x:v>46282.200483622684</x:v>
      </x:c>
      <x:c r="B32" s="1" t="str">
        <x:v>en</x:v>
      </x:c>
      <x:c r="C32" s="1" t="str">
        <x:v>rider</x:v>
      </x:c>
      <x:c r="D32" s="1" t="str">
        <x:v>other</x:v>
      </x:c>
      <x:c r="E32"/>
      <x:c r="F32" s="1" t="str">
        <x:v>yes</x:v>
      </x:c>
      <x:c r="G32" s="1" t="str">
        <x:v>no</x:v>
      </x:c>
      <x:c r="H32"/>
      <x:c r="I32"/>
      <x:c r="J32"/>
      <x:c r="K32"/>
      <x:c r="L32"/>
      <x:c r="M32"/>
      <x:c r="N32"/>
      <x:c r="O32"/>
      <x:c r="P32" s="1" t="str">
        <x:v>Once an overcharging incident by not going to the destination occured at Hyderabad 
</x:v>
      </x:c>
      <x:c r="Q32" s="1" t="str">
        <x:v>yes</x:v>
      </x:c>
      <x:c r="R32" s="1" t="n">
        <x:v>9447056365</x:v>
      </x:c>
      <x:c r="S32"/>
      <x:c r="T32"/>
      <x:c r="U32"/>
      <x:c r="V32"/>
      <x:c r="W32"/>
      <x:c r="X32"/>
      <x:c r="Y32"/>
    </x:row>
    <x:row r="33">
      <x:c r="A33" s="2" t="n">
        <x:v>46282.201843310184</x:v>
      </x:c>
      <x:c r="B33" s="1" t="str">
        <x:v>en</x:v>
      </x:c>
      <x:c r="C33" s="1" t="str">
        <x:v>rider</x:v>
      </x:c>
      <x:c r="D33" s="1" t="str">
        <x:v>hyderabad</x:v>
      </x:c>
      <x:c r="E33"/>
      <x:c r="F33" s="1" t="str">
        <x:v>yes</x:v>
      </x:c>
      <x:c r="G33" s="1" t="str">
        <x:v>no</x:v>
      </x:c>
      <x:c r="H33"/>
      <x:c r="I33"/>
      <x:c r="J33"/>
      <x:c r="K33"/>
      <x:c r="L33"/>
      <x:c r="M33"/>
      <x:c r="N33"/>
      <x:c r="O33"/>
      <x:c r="P33" s="1" t="str">
        <x:v>No</x:v>
      </x:c>
      <x:c r="Q33" s="1" t="str">
        <x:v>no</x:v>
      </x:c>
      <x:c r="R33"/>
      <x:c r="S33"/>
      <x:c r="T33"/>
      <x:c r="U33"/>
      <x:c r="V33"/>
      <x:c r="W33"/>
      <x:c r="X33"/>
      <x:c r="Y33"/>
    </x:row>
    <x:row r="34">
      <x:c r="A34" s="2" t="n">
        <x:v>46282.20329857639</x:v>
      </x:c>
      <x:c r="B34" s="1" t="str">
        <x:v>en</x:v>
      </x:c>
      <x:c r="C34" s="1" t="str">
        <x:v>rider</x:v>
      </x:c>
      <x:c r="D34" s="1" t="str">
        <x:v>other</x:v>
      </x:c>
      <x:c r="E34" s="1" t="str">
        <x:v>Visakhapatnam </x:v>
      </x:c>
      <x:c r="F34" s="1" t="str">
        <x:v>no</x:v>
      </x:c>
      <x:c r="G34" s="1" t="str">
        <x:v>no</x:v>
      </x:c>
      <x:c r="H34"/>
      <x:c r="I34"/>
      <x:c r="J34"/>
      <x:c r="K34"/>
      <x:c r="L34"/>
      <x:c r="M34"/>
      <x:c r="N34"/>
      <x:c r="O34"/>
      <x:c r="P34" s="1" t="str">
        <x:v>Prices are high. So prefering rapido most of the time</x:v>
      </x:c>
      <x:c r="Q34" s="1" t="str">
        <x:v>no</x:v>
      </x:c>
      <x:c r="R34"/>
      <x:c r="S34"/>
      <x:c r="T34"/>
      <x:c r="U34"/>
      <x:c r="V34"/>
      <x:c r="W34"/>
      <x:c r="X34"/>
      <x:c r="Y34"/>
    </x:row>
    <x:row r="35">
      <x:c r="A35" s="2" t="n">
        <x:v>46282.20502178241</x:v>
      </x:c>
      <x:c r="B35" s="1" t="str">
        <x:v>en</x:v>
      </x:c>
      <x:c r="C35" s="1" t="str">
        <x:v>rider</x:v>
      </x:c>
      <x:c r="D35" s="1" t="str">
        <x:v>other</x:v>
      </x:c>
      <x:c r="E35" s="1" t="str">
        <x:v>Bangalore </x:v>
      </x:c>
      <x:c r="F35" s="1" t="str">
        <x:v>yes</x:v>
      </x:c>
      <x:c r="G35" s="1" t="str">
        <x:v>no</x:v>
      </x:c>
      <x:c r="H35"/>
      <x:c r="I35"/>
      <x:c r="J35"/>
      <x:c r="K35"/>
      <x:c r="L35"/>
      <x:c r="M35"/>
      <x:c r="N35"/>
      <x:c r="O35"/>
      <x:c r="P35"/>
      <x:c r="Q35" s="1" t="str">
        <x:v>yes</x:v>
      </x:c>
      <x:c r="R35" s="1" t="n">
        <x:v>7337400210</x:v>
      </x:c>
      <x:c r="S35"/>
      <x:c r="T35"/>
      <x:c r="U35"/>
      <x:c r="V35"/>
      <x:c r="W35"/>
      <x:c r="X35"/>
      <x:c r="Y35"/>
    </x:row>
    <x:row r="36">
      <x:c r="A36" s="2" t="n">
        <x:v>46282.206287685185</x:v>
      </x:c>
      <x:c r="B36" s="1" t="str">
        <x:v>en</x:v>
      </x:c>
      <x:c r="C36" s="1" t="str">
        <x:v>rider</x:v>
      </x:c>
      <x:c r="D36" s="1" t="str">
        <x:v>other</x:v>
      </x:c>
      <x:c r="E36" s="1" t="str">
        <x:v>Bangalore</x:v>
      </x:c>
      <x:c r="F36" s="1" t="str">
        <x:v>yes</x:v>
      </x:c>
      <x:c r="G36" s="1" t="str">
        <x:v>no</x:v>
      </x:c>
      <x:c r="H36"/>
      <x:c r="I36"/>
      <x:c r="J36"/>
      <x:c r="K36"/>
      <x:c r="L36"/>
      <x:c r="M36"/>
      <x:c r="N36"/>
      <x:c r="O36"/>
      <x:c r="P36"/>
      <x:c r="Q36" s="1" t="str">
        <x:v>yes</x:v>
      </x:c>
      <x:c r="R36"/>
      <x:c r="S36"/>
      <x:c r="T36"/>
      <x:c r="U36"/>
      <x:c r="V36"/>
      <x:c r="W36"/>
      <x:c r="X36"/>
      <x:c r="Y36"/>
    </x:row>
    <x:row r="37">
      <x:c r="A37" s="2" t="n">
        <x:v>46282.20901965278</x:v>
      </x:c>
      <x:c r="B37" s="1" t="str">
        <x:v>en</x:v>
      </x:c>
      <x:c r="C37" s="1" t="str">
        <x:v>driver</x:v>
      </x:c>
      <x:c r="D37" s="1" t="str">
        <x:v>hyderabad</x:v>
      </x:c>
      <x:c r="E37"/>
      <x:c r="F37" s="1" t="str">
        <x:v>yes</x:v>
      </x:c>
      <x:c r="G37" s="1" t="str">
        <x:v>no</x:v>
      </x:c>
      <x:c r="H37"/>
      <x:c r="I37"/>
      <x:c r="J37"/>
      <x:c r="K37"/>
      <x:c r="L37"/>
      <x:c r="M37"/>
      <x:c r="N37"/>
      <x:c r="O37"/>
      <x:c r="P37"/>
      <x:c r="Q37" s="1" t="str">
        <x:v>no</x:v>
      </x:c>
      <x:c r="R37"/>
      <x:c r="S37"/>
      <x:c r="T37"/>
      <x:c r="U37"/>
      <x:c r="V37"/>
      <x:c r="W37"/>
      <x:c r="X37"/>
      <x:c r="Y37"/>
    </x:row>
    <x:row r="38">
      <x:c r="A38" s="2" t="n">
        <x:v>46282.21165704861</x:v>
      </x:c>
      <x:c r="B38" s="1" t="str">
        <x:v>en</x:v>
      </x:c>
      <x:c r="C38" s="1" t="str">
        <x:v>rider</x:v>
      </x:c>
      <x:c r="D38" s="1" t="str">
        <x:v>hyderabad</x:v>
      </x:c>
      <x:c r="E38"/>
      <x:c r="F38" s="1" t="str">
        <x:v>no</x:v>
      </x:c>
      <x:c r="G38" s="1" t="str">
        <x:v>no</x:v>
      </x:c>
      <x:c r="H38"/>
      <x:c r="I38"/>
      <x:c r="J38"/>
      <x:c r="K38"/>
      <x:c r="L38"/>
      <x:c r="M38"/>
      <x:c r="N38"/>
      <x:c r="O38"/>
      <x:c r="P38" s="1" t="str">
        <x:v>No not much </x:v>
      </x:c>
      <x:c r="Q38" s="1" t="str">
        <x:v>no</x:v>
      </x:c>
      <x:c r="R38"/>
      <x:c r="S38"/>
      <x:c r="T38"/>
      <x:c r="U38"/>
      <x:c r="V38"/>
      <x:c r="W38"/>
      <x:c r="X38"/>
      <x:c r="Y38"/>
    </x:row>
    <x:row r="39">
      <x:c r="A39" s="2" t="n">
        <x:v>46282.21220751158</x:v>
      </x:c>
      <x:c r="B39" s="1" t="str">
        <x:v>en</x:v>
      </x:c>
      <x:c r="C39" s="1" t="str">
        <x:v>driver</x:v>
      </x:c>
      <x:c r="D39" s="1" t="str">
        <x:v>hyderabad</x:v>
      </x:c>
      <x:c r="E39"/>
      <x:c r="F39" s="1" t="str">
        <x:v>yes</x:v>
      </x:c>
      <x:c r="G39" s="1" t="str">
        <x:v>no</x:v>
      </x:c>
      <x:c r="H39"/>
      <x:c r="I39"/>
      <x:c r="J39"/>
      <x:c r="K39"/>
      <x:c r="L39"/>
      <x:c r="M39"/>
      <x:c r="N39"/>
      <x:c r="O39"/>
      <x:c r="P39" s="1" t="str">
        <x:v>Good to zero error friendly app</x:v>
      </x:c>
      <x:c r="Q39" s="1" t="str">
        <x:v>no</x:v>
      </x:c>
      <x:c r="R39"/>
      <x:c r="S39"/>
      <x:c r="T39"/>
      <x:c r="U39"/>
      <x:c r="V39"/>
      <x:c r="W39"/>
      <x:c r="X39"/>
      <x:c r="Y39"/>
    </x:row>
    <x:row r="40">
      <x:c r="A40" s="2" t="n">
        <x:v>46282.21539229167</x:v>
      </x:c>
      <x:c r="B40" s="1" t="str">
        <x:v>en</x:v>
      </x:c>
      <x:c r="C40" s="1" t="str">
        <x:v>rider</x:v>
      </x:c>
      <x:c r="D40" s="1" t="str">
        <x:v>other</x:v>
      </x:c>
      <x:c r="E40" s="1" t="str">
        <x:v>Bengaluru</x:v>
      </x:c>
      <x:c r="F40" s="1" t="str">
        <x:v>yes</x:v>
      </x:c>
      <x:c r="G40" s="1" t="str">
        <x:v>yes</x:v>
      </x:c>
      <x:c r="H40"/>
      <x:c r="I40" s="1" t="str">
        <x:v>mall</x:v>
      </x:c>
      <x:c r="J40"/>
      <x:c r="K40" s="1" t="str">
        <x:v>other</x:v>
      </x:c>
      <x:c r="L40" s="1" t="str">
        <x:v>I had no choice but to carry on with ride</x:v>
      </x:c>
      <x:c r="M40"/>
      <x:c r="N40" s="1" t="str">
        <x:v>nothing</x:v>
      </x:c>
      <x:c r="O40" s="1" t="str">
        <x:v>no</x:v>
      </x:c>
      <x:c r="P40"/>
      <x:c r="Q40" s="1" t="str">
        <x:v>no</x:v>
      </x:c>
      <x:c r="R40"/>
      <x:c r="S40"/>
      <x:c r="T40"/>
      <x:c r="U40"/>
      <x:c r="V40"/>
      <x:c r="W40"/>
      <x:c r="X40"/>
      <x:c r="Y40"/>
    </x:row>
    <x:row r="41">
      <x:c r="A41" s="2" t="n">
        <x:v>46282.21843878472</x:v>
      </x:c>
      <x:c r="B41" s="1" t="str">
        <x:v>te</x:v>
      </x:c>
      <x:c r="C41" s="1" t="str">
        <x:v>rider</x:v>
      </x:c>
      <x:c r="D41" s="1" t="str">
        <x:v>other</x:v>
      </x:c>
      <x:c r="E41" s="1" t="str">
        <x:v>Visakhapatnam </x:v>
      </x:c>
      <x:c r="F41" s="1" t="str">
        <x:v>yes</x:v>
      </x:c>
      <x:c r="G41" s="1" t="str">
        <x:v>yes</x:v>
      </x:c>
      <x:c r="H41"/>
      <x:c r="I41" s="1" t="str">
        <x:v>hotel</x:v>
      </x:c>
      <x:c r="J41"/>
      <x:c r="K41" s="1" t="str">
        <x:v>called</x:v>
      </x:c>
      <x:c r="L41"/>
      <x:c r="M41"/>
      <x:c r="N41" s="1" t="str">
        <x:v>called_messaged</x:v>
      </x:c>
      <x:c r="O41" s="1" t="str">
        <x:v>no</x:v>
      </x:c>
      <x:c r="P41"/>
      <x:c r="Q41" s="1" t="str">
        <x:v>no</x:v>
      </x:c>
      <x:c r="R41"/>
      <x:c r="S41"/>
      <x:c r="T41"/>
      <x:c r="U41"/>
      <x:c r="V41"/>
      <x:c r="W41"/>
      <x:c r="X41"/>
      <x:c r="Y41"/>
    </x:row>
    <x:row r="42">
      <x:c r="A42" s="2" t="n">
        <x:v>46282.2210174537</x:v>
      </x:c>
      <x:c r="B42" s="1" t="str">
        <x:v>te</x:v>
      </x:c>
      <x:c r="C42" s="1" t="str">
        <x:v>rider</x:v>
      </x:c>
      <x:c r="D42" s="1" t="str">
        <x:v>hyderabad</x:v>
      </x:c>
      <x:c r="E42"/>
      <x:c r="F42" s="1" t="str">
        <x:v>yes</x:v>
      </x:c>
      <x:c r="G42" s="1" t="str">
        <x:v>no</x:v>
      </x:c>
      <x:c r="H42"/>
      <x:c r="I42"/>
      <x:c r="J42"/>
      <x:c r="K42"/>
      <x:c r="L42"/>
      <x:c r="M42"/>
      <x:c r="N42"/>
      <x:c r="O42"/>
      <x:c r="P42"/>
      <x:c r="Q42"/>
      <x:c r="R42"/>
      <x:c r="S42"/>
      <x:c r="T42"/>
      <x:c r="U42"/>
      <x:c r="V42" s="1" t="str">
        <x:v>అధిక టిప్స్ మరియు క్యాన్సిలషన్ ఇబ్బదిగా ఉంది.</x:v>
      </x:c>
      <x:c r="W42" s="1" t="str">
        <x:v>no</x:v>
      </x:c>
      <x:c r="X42"/>
      <x:c r="Y42" s="1" t="str">
        <x:v>{"timestamp":"2026-09-17T05:18:15.908Z","language":"te","role":"rider","city":"hyderabad","cityOther":"","scope4wheeler":"yes","difficulty":"no","mainStory":"","confusionStart":"","actionsReasoning":"","frustration":"","whatHappened":"","whatHappenedOther":"","location":"","locationOther":"","actions":"","actionsOther":"","timeRange":"","helped":"","helpedOther":"","repeatOccurrence":"","more":"అధిక టిప్స్ మరియు క్యాన్సిలషన్ ఇబ్బదిగా ఉంది.","followupOk":"no"}</x:v>
      </x:c>
    </x:row>
    <x:row r="43">
      <x:c r="A43" s="2" t="str">
        <x:v>TEST-VERIFY-REDEPLOY</x:v>
      </x:c>
      <x:c r="B43" s="1" t="str">
        <x:v>en</x:v>
      </x:c>
      <x:c r="C43" s="1" t="str">
        <x:v>driver</x:v>
      </x:c>
      <x:c r="D43" s="1" t="str">
        <x:v>hyderabad</x:v>
      </x:c>
      <x:c r="E43"/>
      <x:c r="F43" s="1" t="str">
        <x:v>yes</x:v>
      </x:c>
      <x:c r="G43" s="1" t="str">
        <x:v>yes</x:v>
      </x:c>
      <x:c r="H43" s="1" t="str">
        <x:v>TEST: full story field check</x:v>
      </x:c>
      <x:c r="I43" s="1" t="str">
        <x:v>TEST: confusion start field check</x:v>
      </x:c>
      <x:c r="J43" s="1" t="str">
        <x:v>TEST: reasoning field check</x:v>
      </x:c>
      <x:c r="K43" s="1" t="str">
        <x:v>TEST: frustration field check</x:v>
      </x:c>
      <x:c r="L43" s="1" t="str">
        <x:v>pin_restricted, similar_gates</x:v>
      </x:c>
      <x:c r="M43"/>
      <x:c r="N43" s="1" t="str">
        <x:v>airport, office</x:v>
      </x:c>
      <x:c r="O43"/>
      <x:c r="P43" s="1" t="str">
        <x:v>called, waited</x:v>
      </x:c>
      <x:c r="Q43"/>
      <x:c r="R43" s="1" t="str">
        <x:v>5to15</x:v>
      </x:c>
      <x:c r="S43" s="1" t="str">
        <x:v>landmark</x:v>
      </x:c>
      <x:c r="T43"/>
      <x:c r="U43" s="1" t="str">
        <x:v>yes</x:v>
      </x:c>
      <x:c r="V43" s="1" t="str">
        <x:v>TEST: safe to delete this row</x:v>
      </x:c>
      <x:c r="W43" s="1" t="str">
        <x:v>no</x:v>
      </x:c>
      <x:c r="X43"/>
      <x:c r="Y43" s="1" t="str">
        <x:v>{"timestamp":"TEST-VERIFY-REDEPLOY","language":"en","role":"driver","city":"hyderabad","cityOther":"","scope4wheeler":"yes","difficulty":"yes","mainStory":"TEST: full story field check","confusionStart":"TEST: confusion start field check","actionsReasoning":"TEST: reasoning field check","frustration":"TEST: frustration field check","whatHappened":"pin_restricted, similar_gates","whatHappenedOther":"","location":"airport, office","locationOther":"","actions":"called, waited","actionsOther":"","timeRange":"5to15","helped":"landmark","helpedOther":"","repeatOccurrence":"yes","more":"TEST: safe to delete this row","followupOk":"no"}</x:v>
      </x:c>
    </x:row>
    <x:row r="44">
      <x:c r="A44" s="2" t="str">
        <x:v>TEST-VERIFY-REDEPLOY-2</x:v>
      </x:c>
      <x:c r="B44" s="1" t="str">
        <x:v>en</x:v>
      </x:c>
      <x:c r="C44" s="1" t="str">
        <x:v>driver</x:v>
      </x:c>
      <x:c r="D44" s="1" t="str">
        <x:v>hyderabad</x:v>
      </x:c>
      <x:c r="E44"/>
      <x:c r="F44"/>
      <x:c r="G44"/>
      <x:c r="H44" s="1" t="str">
        <x:v>TEST field check 2</x:v>
      </x:c>
      <x:c r="I44"/>
      <x:c r="J44"/>
      <x:c r="K44"/>
      <x:c r="L44"/>
      <x:c r="M44"/>
      <x:c r="N44"/>
      <x:c r="O44"/>
      <x:c r="P44"/>
      <x:c r="Q44"/>
      <x:c r="R44"/>
      <x:c r="S44"/>
      <x:c r="T44"/>
      <x:c r="U44"/>
      <x:c r="V44"/>
      <x:c r="W44"/>
      <x:c r="X44"/>
      <x:c r="Y44" s="1" t="str">
        <x:v>{"timestamp":"TEST-VERIFY-REDEPLOY-2","language":"en","role":"driver","city":"hyderabad","mainStory":"TEST field check 2"}</x:v>
      </x:c>
    </x:row>
    <x:row r="45">
      <x:c r="A45" s="2" t="n">
        <x:v>46282.22465099537</x:v>
      </x:c>
      <x:c r="B45" s="1" t="str">
        <x:v>en</x:v>
      </x:c>
      <x:c r="C45" s="1" t="str">
        <x:v>rider</x:v>
      </x:c>
      <x:c r="D45" s="1" t="str">
        <x:v>other</x:v>
      </x:c>
      <x:c r="E45" s="1" t="str">
        <x:v>Kolkata</x:v>
      </x:c>
      <x:c r="F45" s="1" t="str">
        <x:v>yes</x:v>
      </x:c>
      <x:c r="G45" s="1" t="str">
        <x:v>yes</x:v>
      </x:c>
      <x:c r="H45"/>
      <x:c r="I45"/>
      <x:c r="J45"/>
      <x:c r="K45"/>
      <x:c r="L45" s="1" t="str">
        <x:v>wrong_pin, driver_no_stop, cancelled</x:v>
      </x:c>
      <x:c r="M45"/>
      <x:c r="N45" s="1" t="str">
        <x:v>hospital</x:v>
      </x:c>
      <x:c r="O45"/>
      <x:c r="P45" s="1" t="str">
        <x:v>waited</x:v>
      </x:c>
      <x:c r="Q45"/>
      <x:c r="R45" s="1" t="str">
        <x:v>gt15</x:v>
      </x:c>
      <x:c r="S45" s="1" t="str">
        <x:v>nothing</x:v>
      </x:c>
      <x:c r="T45"/>
      <x:c r="U45" s="1" t="str">
        <x:v>yes</x:v>
      </x:c>
      <x:c r="V45"/>
      <x:c r="W45" s="1" t="str">
        <x:v>no</x:v>
      </x:c>
      <x:c r="X45"/>
      <x:c r="Y45" s="1" t="str">
        <x:v>{"timestamp":"2026-09-17T05:23:29.846Z","language":"en","role":"rider","city":"other","cityOther":"Kolkata","scope4wheeler":"yes","difficulty":"yes","whatHappened":"wrong_pin, driver_no_stop, cancelled","whatHappenedOther":"","location":"hospital","actions":"waited","actionsOther":"","timeRange":"gt15","helped":"nothing","helpedOther":"","repeatOccurrence":"yes","more":"","followupOk":"no"}</x:v>
      </x:c>
    </x:row>
    <x:row r="46">
      <x:c r="A46" s="2" t="n">
        <x:v>46282.22499310185</x:v>
      </x:c>
      <x:c r="B46" s="1" t="str">
        <x:v>en</x:v>
      </x:c>
      <x:c r="C46" s="1" t="str">
        <x:v>driver</x:v>
      </x:c>
      <x:c r="D46" s="1" t="str">
        <x:v>other</x:v>
      </x:c>
      <x:c r="E46" s="1" t="str">
        <x:v>Mumbai </x:v>
      </x:c>
      <x:c r="F46" s="1" t="str">
        <x:v>yes</x:v>
      </x:c>
      <x:c r="G46" s="1" t="str">
        <x:v>no</x:v>
      </x:c>
      <x:c r="H46"/>
      <x:c r="I46"/>
      <x:c r="J46"/>
      <x:c r="K46"/>
      <x:c r="L46"/>
      <x:c r="M46"/>
      <x:c r="N46"/>
      <x:c r="O46"/>
      <x:c r="P46"/>
      <x:c r="Q46"/>
      <x:c r="R46"/>
      <x:c r="S46"/>
      <x:c r="T46"/>
      <x:c r="U46"/>
      <x:c r="V46" s="1" t="str">
        <x:v>The vehicles are dirty and not kept well. Not provided with simple things like a sealed bottle of water. No fire extinguisher. The Driver is shabbily dressed. Etc</x:v>
      </x:c>
      <x:c r="W46" s="1" t="str">
        <x:v>no</x:v>
      </x:c>
      <x:c r="X46"/>
      <x:c r="Y46" s="1" t="str">
        <x:v>{"timestamp":"2026-09-17T05:23:59.404Z","language":"en","role":"driver","city":"other","cityOther":"Mumbai ","scope4wheeler":"yes","difficulty":"no","mainStory":"","confusionStart":"","actionsReasoning":"","frustration":"","whatHappened":"","whatHappenedOther":"","location":"","locationOther":"","actions":"","actionsOther":"","timeRange":"","helped":"","helpedOther":"","repeatOccurrence":"","more":"The vehicles are dirty and not kept well. Not provided with simple things like a sealed bottle of water. No fire extinguisher. The Driver is shabbily dressed. Etc","followupOk":"no"}</x:v>
      </x:c>
    </x:row>
    <x:row r="47">
      <x:c r="A47" s="2" t="n">
        <x:v>46282.22536693287</x:v>
      </x:c>
      <x:c r="B47" s="1" t="str">
        <x:v>en</x:v>
      </x:c>
      <x:c r="C47" s="1" t="str">
        <x:v>rider</x:v>
      </x:c>
      <x:c r="D47" s="1" t="str">
        <x:v>hyderabad</x:v>
      </x:c>
      <x:c r="E47"/>
      <x:c r="F47" s="1" t="str">
        <x:v>yes</x:v>
      </x:c>
      <x:c r="G47" s="1" t="str">
        <x:v>yes</x:v>
      </x:c>
      <x:c r="H47" s="1" t="str">
        <x:v>During rains it would be very difficult to book a cab and even after booking there are many cancellations based on the drop point. </x:v>
      </x:c>
      <x:c r="I47"/>
      <x:c r="J47" s="1" t="str">
        <x:v>Driver calls and asks for drop location. Then based on the location he cancels</x:v>
      </x:c>
      <x:c r="K47" s="1" t="str">
        <x:v>Peek time bookings</x:v>
      </x:c>
      <x:c r="L47" s="1" t="str">
        <x:v>poor_signal, cancelled, wrong_pin</x:v>
      </x:c>
      <x:c r="M47"/>
      <x:c r="N47" s="1" t="str">
        <x:v>mall, office, station, residential</x:v>
      </x:c>
      <x:c r="O47"/>
      <x:c r="P47" s="1" t="str">
        <x:v>moved, called</x:v>
      </x:c>
      <x:c r="Q47"/>
      <x:c r="R47" s="1" t="str">
        <x:v>2to5</x:v>
      </x:c>
      <x:c r="S47" s="1" t="str">
        <x:v>called_messaged</x:v>
      </x:c>
      <x:c r="T47"/>
      <x:c r="U47" s="1" t="str">
        <x:v>yes</x:v>
      </x:c>
      <x:c r="V47"/>
      <x:c r="W47" s="1" t="str">
        <x:v>yes</x:v>
      </x:c>
      <x:c r="X47"/>
      <x:c r="Y47" s="1" t="str">
        <x:v>{"timestamp":"2026-09-17T05:24:31.703Z","language":"en","role":"rider","city":"hyderabad","cityOther":"","scope4wheeler":"yes","difficulty":"yes","mainStory":"During rains it would be very difficult to book a cab and even after booking there are many cancellations based on the drop point. ","confusionStart":"","actionsReasoning":"Driver calls and asks for drop location. Then based on the location he cancels","frustration":"Peek time bookings","whatHappened":"poor_signal, cancelled, wrong_pin","whatHappenedOther":"","location":"mall, office, station, residential","locationOther":"","actions":"moved, called","actionsOther":"","timeRange":"2to5","helped":"called_messaged","helpedOther":"","repeatOccurrence":"yes","more":"","followupOk":"yes"}</x:v>
      </x:c>
    </x:row>
    <x:row r="48">
      <x:c r="A48" s="2" t="n">
        <x:v>46282.23397872685</x:v>
      </x:c>
      <x:c r="B48" s="1" t="str">
        <x:v>en</x:v>
      </x:c>
      <x:c r="C48" s="1" t="str">
        <x:v>rider</x:v>
      </x:c>
      <x:c r="D48" s="1" t="str">
        <x:v>hyderabad</x:v>
      </x:c>
      <x:c r="E48"/>
      <x:c r="F48" s="1" t="str">
        <x:v>yes</x:v>
      </x:c>
      <x:c r="G48" s="1" t="str">
        <x:v>no</x:v>
      </x:c>
      <x:c r="H48"/>
      <x:c r="I48"/>
      <x:c r="J48"/>
      <x:c r="K48"/>
      <x:c r="L48"/>
      <x:c r="M48"/>
      <x:c r="N48"/>
      <x:c r="O48"/>
      <x:c r="P48"/>
      <x:c r="Q48"/>
      <x:c r="R48"/>
      <x:c r="S48"/>
      <x:c r="T48"/>
      <x:c r="U48"/>
      <x:c r="V48" s="1" t="str">
        <x:v>xxx</x:v>
      </x:c>
      <x:c r="W48" s="1" t="str">
        <x:v>no</x:v>
      </x:c>
      <x:c r="X48"/>
      <x:c r="Y48" s="1" t="str">
        <x:v>{"timestamp":"2026-09-17T05:36:55.762Z","language":"en","role":"rider","city":"hyderabad","cityOther":"","scope4wheeler":"yes","difficulty":"no","mainStory":"","confusionStart":"","actionsReasoning":"","frustration":"","whatHappened":"","whatHappenedOther":"","location":"","locationOther":"","actions":"","actionsOther":"","timeRange":"","helped":"","helpedOther":"","repeatOccurrence":"","more":"xxx","followupOk":"no"}</x:v>
      </x:c>
    </x:row>
    <x:row r="49">
      <x:c r="A49" s="2" t="n">
        <x:v>46282.23477805556</x:v>
      </x:c>
      <x:c r="B49" s="1" t="str">
        <x:v>en</x:v>
      </x:c>
      <x:c r="C49" s="1" t="str">
        <x:v>rider</x:v>
      </x:c>
      <x:c r="D49" s="1" t="str">
        <x:v>hyderabad</x:v>
      </x:c>
      <x:c r="E49"/>
      <x:c r="F49" s="1" t="str">
        <x:v>yes</x:v>
      </x:c>
      <x:c r="G49" s="1" t="str">
        <x:v>no</x:v>
      </x:c>
      <x:c r="H49"/>
      <x:c r="I49"/>
      <x:c r="J49"/>
      <x:c r="K49"/>
      <x:c r="L49"/>
      <x:c r="M49"/>
      <x:c r="N49"/>
      <x:c r="O49"/>
      <x:c r="P49"/>
      <x:c r="Q49"/>
      <x:c r="R49"/>
      <x:c r="S49"/>
      <x:c r="T49"/>
      <x:c r="U49"/>
      <x:c r="V49" s="1" t="str">
        <x:v>There were instances when the driver has accepted the ride but will not move or start from the location for long time and later cancels or waits for us to cancel the ride.</x:v>
      </x:c>
      <x:c r="W49" s="1" t="str">
        <x:v>yes</x:v>
      </x:c>
      <x:c r="X49"/>
      <x:c r="Y49" s="1" t="str">
        <x:v>{"timestamp":"2026-09-17T05:38:04.824Z","language":"en","role":"rider","city":"hyderabad","cityOther":"","scope4wheeler":"yes","difficulty":"no","mainStory":"","confusionStart":"","actionsReasoning":"","frustration":"","whatHappened":"","whatHappenedOther":"","location":"","locationOther":"","actions":"","actionsOther":"","timeRange":"","helped":"","helpedOther":"","repeatOccurrence":"","more":"There were instances when the driver has accepted the ride but will not move or start from the location for long time and later cancels or waits for us to cancel the ride.","followupOk":"yes"}</x:v>
      </x:c>
    </x:row>
    <x:row r="50">
      <x:c r="A50" s="2" t="n">
        <x:v>46282.242795578706</x:v>
      </x:c>
      <x:c r="B50" s="1" t="str">
        <x:v>en</x:v>
      </x:c>
      <x:c r="C50" s="1" t="str">
        <x:v>rider</x:v>
      </x:c>
      <x:c r="D50" s="1" t="str">
        <x:v>other</x:v>
      </x:c>
      <x:c r="E50" s="1" t="str">
        <x:v>Bangalore </x:v>
      </x:c>
      <x:c r="F50" s="1" t="str">
        <x:v>yes</x:v>
      </x:c>
      <x:c r="G50" s="1" t="str">
        <x:v>yes</x:v>
      </x:c>
      <x:c r="H50"/>
      <x:c r="I50"/>
      <x:c r="J50"/>
      <x:c r="K50"/>
      <x:c r="L50" s="1" t="str">
        <x:v>similar_gates, driver_no_stop, poor_signal, long_walk, cancelled, wrong_pin</x:v>
      </x:c>
      <x:c r="M50"/>
      <x:c r="N50" s="1" t="str">
        <x:v>airport, mall, office, street, residential</x:v>
      </x:c>
      <x:c r="O50"/>
      <x:c r="P50" s="1" t="str">
        <x:v>called, messaged, moved, waited</x:v>
      </x:c>
      <x:c r="Q50"/>
      <x:c r="R50" s="1" t="str">
        <x:v>gt15</x:v>
      </x:c>
      <x:c r="S50" s="1" t="str">
        <x:v>called_messaged</x:v>
      </x:c>
      <x:c r="T50"/>
      <x:c r="U50" s="1" t="str">
        <x:v>yes</x:v>
      </x:c>
      <x:c r="V50"/>
      <x:c r="W50" s="1" t="str">
        <x:v>yes</x:v>
      </x:c>
      <x:c r="X50"/>
      <x:c r="Y50" s="1" t="str">
        <x:v>{"timestamp":"2026-09-17T05:49:37.538Z","language":"en","role":"rider","city":"other","cityOther":"Bangalore ","scope4wheeler":"yes","difficulty":"yes","mainStory":"","confusionStart":"","actionsReasoning":"","frustration":"","whatHappened":"similar_gates, driver_no_stop, poor_signal, long_walk, cancelled, wrong_pin","whatHappenedOther":"","location":"airport, mall, office, street, residential","locationOther":"","actions":"called, messaged, moved, waited","actionsOther":"","timeRange":"gt15","helped":"called_messaged","helpedOther":"","repeatOccurrence":"yes","more":"","followupOk":"yes"}</x:v>
      </x:c>
    </x:row>
    <x:row r="51">
      <x:c r="A51" s="2" t="n">
        <x:v>46282.243515138885</x:v>
      </x:c>
      <x:c r="B51" s="1" t="str">
        <x:v>en</x:v>
      </x:c>
      <x:c r="C51" s="1" t="str">
        <x:v>rider</x:v>
      </x:c>
      <x:c r="D51" s="1" t="str">
        <x:v>hyderabad</x:v>
      </x:c>
      <x:c r="E51"/>
      <x:c r="F51" s="1" t="str">
        <x:v>yes</x:v>
      </x:c>
      <x:c r="G51" s="1" t="str">
        <x:v>no</x:v>
      </x:c>
      <x:c r="H51"/>
      <x:c r="I51"/>
      <x:c r="J51"/>
      <x:c r="K51"/>
      <x:c r="L51"/>
      <x:c r="M51"/>
      <x:c r="N51"/>
      <x:c r="O51"/>
      <x:c r="P51"/>
      <x:c r="Q51"/>
      <x:c r="R51"/>
      <x:c r="S51"/>
      <x:c r="T51"/>
      <x:c r="U51"/>
      <x:c r="V51" s="1" t="str">
        <x:v>If the pick up time is early in the morning say 4.30 am or 5 am there are issues of delay or last minute cancellation. 
Few times the cab was smelling and not clean.
Drivers keep speaking on mobile while driving. </x:v>
      </x:c>
      <x:c r="W51" s="1" t="str">
        <x:v>no</x:v>
      </x:c>
      <x:c r="X51"/>
      <x:c r="Y51" s="1" t="str">
        <x:v>{"timestamp":"2026-09-17T05:50:39.708Z","language":"en","role":"rider","city":"hyderabad","cityOther":"","scope4wheeler":"yes","difficulty":"no","mainStory":"","confusionStart":"","actionsReasoning":"","frustration":"","whatHappened":"","whatHappenedOther":"","location":"","locationOther":"","actions":"","actionsOther":"","timeRange":"","helped":"","helpedOther":"","repeatOccurrence":"","more":"If the pick up time is early in the morning say 4.30 am or 5 am there are issues of delay or last minute cancellation. \n\nFew times the cab was smelling and not clean.\n\nDrivers keep speaking on mobile while driving. ","followupOk":"no"}</x:v>
      </x:c>
    </x:row>
    <x:row r="52">
      <x:c r="A52" s="2" t="n">
        <x:v>46282.24830609954</x:v>
      </x:c>
      <x:c r="B52" s="1" t="str">
        <x:v>en</x:v>
      </x:c>
      <x:c r="C52" s="1" t="str">
        <x:v>rider</x:v>
      </x:c>
      <x:c r="D52" s="1" t="str">
        <x:v>hyderabad</x:v>
      </x:c>
      <x:c r="E52"/>
      <x:c r="F52" s="1" t="str">
        <x:v>yes</x:v>
      </x:c>
      <x:c r="G52" s="1" t="str">
        <x:v>no</x:v>
      </x:c>
      <x:c r="H52"/>
      <x:c r="I52"/>
      <x:c r="J52"/>
      <x:c r="K52"/>
      <x:c r="L52"/>
      <x:c r="M52"/>
      <x:c r="N52"/>
      <x:c r="O52"/>
      <x:c r="P52"/>
      <x:c r="Q52"/>
      <x:c r="R52"/>
      <x:c r="S52"/>
      <x:c r="T52"/>
      <x:c r="U52"/>
      <x:c r="V52"/>
      <x:c r="W52" s="1" t="str">
        <x:v>no</x:v>
      </x:c>
      <x:c r="X52"/>
      <x:c r="Y52" s="1" t="str">
        <x:v>{"timestamp":"2026-09-17T05:57:33.647Z","language":"en","role":"rider","city":"hyderabad","cityOther":"","scope4wheeler":"yes","difficulty":"no","mainStory":"","confusionStart":"","actionsReasoning":"","frustration":"","whatHappened":"","whatHappenedOther":"","location":"","locationOther":"","actions":"","actionsOther":"","timeRange":"","helped":"","helpedOther":"","repeatOccurrence":"","more":"","followupOk":"no"}</x:v>
      </x:c>
    </x:row>
    <x:row r="53">
      <x:c r="A53" s="2" t="n">
        <x:v>46282.251308831015</x:v>
      </x:c>
      <x:c r="B53" s="1" t="str">
        <x:v>en</x:v>
      </x:c>
      <x:c r="C53" s="1" t="str">
        <x:v>rider</x:v>
      </x:c>
      <x:c r="D53" s="1" t="str">
        <x:v>hyderabad</x:v>
      </x:c>
      <x:c r="E53"/>
      <x:c r="F53" s="1" t="str">
        <x:v>yes</x:v>
      </x:c>
      <x:c r="G53" s="1" t="str">
        <x:v>yes</x:v>
      </x:c>
      <x:c r="H53" s="1" t="str">
        <x:v>Some of the driver's are unable to identity the location and they are asking me to cancel the ride
</x:v>
      </x:c>
      <x:c r="I53"/>
      <x:c r="J53" s="1" t="str">
        <x:v>Because the waiting time is too long</x:v>
      </x:c>
      <x:c r="K53" s="1" t="str">
        <x:v>Finding the location or they doesn't want come</x:v>
      </x:c>
      <x:c r="L53" s="1" t="str">
        <x:v>wrong_pin</x:v>
      </x:c>
      <x:c r="M53"/>
      <x:c r="N53" s="1" t="str">
        <x:v>residential</x:v>
      </x:c>
      <x:c r="O53"/>
      <x:c r="P53" s="1" t="str">
        <x:v>messaged</x:v>
      </x:c>
      <x:c r="Q53"/>
      <x:c r="R53" s="1" t="str">
        <x:v>5to15</x:v>
      </x:c>
      <x:c r="S53" s="1" t="str">
        <x:v>called_messaged</x:v>
      </x:c>
      <x:c r="T53"/>
      <x:c r="U53" s="1" t="str">
        <x:v>yes</x:v>
      </x:c>
      <x:c r="V53" s="1" t="str">
        <x:v>Nothing</x:v>
      </x:c>
      <x:c r="W53" s="1" t="str">
        <x:v>yes</x:v>
      </x:c>
      <x:c r="X53"/>
      <x:c r="Y53" s="1" t="str">
        <x:v>{"timestamp":"2026-09-17T06:01:53.083Z","language":"en","role":"rider","city":"hyderabad","cityOther":"","scope4wheeler":"yes","difficulty":"yes","mainStory":"Some of the driver's are unable to identity the location and they are asking me to cancel the ride\n","confusionStart":"","actionsReasoning":"Because the waiting time is too long","frustration":"Finding the location or they doesn't want come","whatHappened":"wrong_pin","whatHappenedOther":"","location":"residential","locationOther":"","actions":"messaged","actionsOther":"","timeRange":"5to15","helped":"called_messaged","helpedOther":"","repeatOccurrence":"yes","more":"Nothing","followupOk":"yes"}</x:v>
      </x:c>
    </x:row>
    <x:row r="54">
      <x:c r="A54" s="2" t="n">
        <x:v>46282.251401967595</x:v>
      </x:c>
      <x:c r="B54" s="1" t="str">
        <x:v>en</x:v>
      </x:c>
      <x:c r="C54" s="1" t="str">
        <x:v>rider</x:v>
      </x:c>
      <x:c r="D54" s="1" t="str">
        <x:v>other</x:v>
      </x:c>
      <x:c r="E54" s="1" t="str">
        <x:v>Visakhapatnam </x:v>
      </x:c>
      <x:c r="F54" s="1" t="str">
        <x:v>yes</x:v>
      </x:c>
      <x:c r="G54" s="1" t="str">
        <x:v>no</x:v>
      </x:c>
      <x:c r="H54"/>
      <x:c r="I54"/>
      <x:c r="J54"/>
      <x:c r="K54"/>
      <x:c r="L54"/>
      <x:c r="M54"/>
      <x:c r="N54"/>
      <x:c r="O54"/>
      <x:c r="P54"/>
      <x:c r="Q54"/>
      <x:c r="R54"/>
      <x:c r="S54"/>
      <x:c r="T54"/>
      <x:c r="U54"/>
      <x:c r="V54"/>
      <x:c r="W54" s="1" t="str">
        <x:v>no</x:v>
      </x:c>
      <x:c r="X54"/>
      <x:c r="Y54" s="1" t="str">
        <x:v>{"timestamp":"2026-09-17T06:02:01.130Z","language":"en","role":"rider","city":"other","cityOther":"Visakhapatnam ","scope4wheeler":"yes","difficulty":"no","mainStory":"","confusionStart":"","actionsReasoning":"","frustration":"","whatHappened":"","whatHappenedOther":"","location":"","locationOther":"","actions":"","actionsOther":"","timeRange":"","helped":"","helpedOther":"","repeatOccurrence":"","more":"","followupOk":"no"}</x:v>
      </x:c>
    </x:row>
    <x:row r="55">
      <x:c r="A55" s="2" t="n">
        <x:v>46282.25168288194</x:v>
      </x:c>
      <x:c r="B55" s="1" t="str">
        <x:v>en</x:v>
      </x:c>
      <x:c r="C55" s="1" t="str">
        <x:v>rider</x:v>
      </x:c>
      <x:c r="D55" s="1" t="str">
        <x:v>other</x:v>
      </x:c>
      <x:c r="E55" s="1" t="str">
        <x:v>Mumbai</x:v>
      </x:c>
      <x:c r="F55" s="1" t="str">
        <x:v>notsure</x:v>
      </x:c>
      <x:c r="G55" s="1" t="str">
        <x:v>yes</x:v>
      </x:c>
      <x:c r="H55" s="1" t="str">
        <x:v>At times it takes unusually long time and we book uber under normal belief that the ride will be available within 2-3 minutes but at times it takes 10-15 minutes </x:v>
      </x:c>
      <x:c r="I55" s="1" t="str">
        <x:v>Like in a busy area of Juhu Tara Road, I wouldn’t expect that it takes more than five minutes to get a ride</x:v>
      </x:c>
      <x:c r="J55"/>
      <x:c r="K55"/>
      <x:c r="L55" s="1" t="str">
        <x:v>other</x:v>
      </x:c>
      <x:c r="M55" s="1" t="str">
        <x:v>Unusually long time</x:v>
      </x:c>
      <x:c r="N55" s="1" t="str">
        <x:v>residential</x:v>
      </x:c>
      <x:c r="O55"/>
      <x:c r="P55" s="1" t="str">
        <x:v>waited</x:v>
      </x:c>
      <x:c r="Q55"/>
      <x:c r="R55" s="1" t="str">
        <x:v>gt15</x:v>
      </x:c>
      <x:c r="S55" s="1" t="str">
        <x:v>other</x:v>
      </x:c>
      <x:c r="T55" s="1" t="str">
        <x:v>Nothing helped just waited</x:v>
      </x:c>
      <x:c r="U55" s="1" t="str">
        <x:v>yes</x:v>
      </x:c>
      <x:c r="V55"/>
      <x:c r="W55" s="1" t="str">
        <x:v>no</x:v>
      </x:c>
      <x:c r="X55"/>
      <x:c r="Y55" s="1" t="str">
        <x:v>{"timestamp":"2026-09-17T06:02:25.401Z","language":"en","role":"rider","city":"other","cityOther":"Mumbai","scope4wheeler":"notsure","difficulty":"yes","mainStory":"At times it takes unusually long time and we book uber under normal belief that the ride will be available within 2-3 minutes but at times it takes 10-15 minutes ","confusionStart":"Like in a busy area of Juhu Tara Road, I wouldn’t expect that it takes more than five minutes to get a ride","actionsReasoning":"","frustration":"","whatHappened":"other","whatHappenedOther":"Unusually long time","location":"residential","locationOther":"","actions":"waited","actionsOther":"","timeRange":"gt15","helped":"other","helpedOther":"Nothing helped just waited","repeatOccurrence":"yes","more":"","followupOk":"no"}</x:v>
      </x:c>
    </x:row>
    <x:row r="56">
      <x:c r="A56" s="2" t="n">
        <x:v>46282.25619863426</x:v>
      </x:c>
      <x:c r="B56" s="1" t="str">
        <x:v>en</x:v>
      </x:c>
      <x:c r="C56" s="1" t="str">
        <x:v>rider</x:v>
      </x:c>
      <x:c r="D56" s="1" t="str">
        <x:v>hyderabad</x:v>
      </x:c>
      <x:c r="E56"/>
      <x:c r="F56" s="1" t="str">
        <x:v>yes</x:v>
      </x:c>
      <x:c r="G56" s="1" t="str">
        <x:v>no</x:v>
      </x:c>
      <x:c r="H56"/>
      <x:c r="I56"/>
      <x:c r="J56"/>
      <x:c r="K56"/>
      <x:c r="L56"/>
      <x:c r="M56"/>
      <x:c r="N56"/>
      <x:c r="O56"/>
      <x:c r="P56"/>
      <x:c r="Q56"/>
      <x:c r="R56"/>
      <x:c r="S56"/>
      <x:c r="T56"/>
      <x:c r="U56"/>
      <x:c r="V56"/>
      <x:c r="W56" s="1" t="str">
        <x:v>yes</x:v>
      </x:c>
      <x:c r="X56" s="1"/>
      <x:c r="Y56" s="1" t="str">
        <x:v>{"timestamp":"2026-09-17T06:08:55.562Z","language":"en","role":"rider","city":"hyderabad","cityOther":"","scope4wheeler":"yes","difficulty":"no","mainStory":"","confusionStart":"","actionsReasoning":"","frustration":"","whatHappened":"","whatHappenedOther":"","location":"","locationOther":"","actions":"","actionsOther":"","timeRange":"","helped":"","helpedOther":"","repeatOccurrence":"","more":"","followupOk":"yes"}</x:v>
      </x:c>
    </x:row>
    <x:row r="57">
      <x:c r="A57" s="2" t="n">
        <x:v>46282.25798686343</x:v>
      </x:c>
      <x:c r="B57" s="1" t="str">
        <x:v>en</x:v>
      </x:c>
      <x:c r="C57" s="1" t="str">
        <x:v>rider</x:v>
      </x:c>
      <x:c r="D57" s="1" t="str">
        <x:v>other</x:v>
      </x:c>
      <x:c r="E57" s="1" t="str">
        <x:v>Bangalore </x:v>
      </x:c>
      <x:c r="F57" s="1" t="str">
        <x:v>yes</x:v>
      </x:c>
      <x:c r="G57" s="1" t="str">
        <x:v>no</x:v>
      </x:c>
      <x:c r="H57"/>
      <x:c r="I57"/>
      <x:c r="J57"/>
      <x:c r="K57"/>
      <x:c r="L57"/>
      <x:c r="M57"/>
      <x:c r="N57"/>
      <x:c r="O57"/>
      <x:c r="P57"/>
      <x:c r="Q57"/>
      <x:c r="R57"/>
      <x:c r="S57"/>
      <x:c r="T57"/>
      <x:c r="U57"/>
      <x:c r="V57"/>
      <x:c r="W57" s="1" t="str">
        <x:v>no</x:v>
      </x:c>
      <x:c r="X57"/>
      <x:c r="Y57" s="1" t="str">
        <x:v>{"timestamp":"2026-09-17T06:11:30.065Z","language":"en","role":"rider","city":"other","cityOther":"Bangalore ","scope4wheeler":"yes","difficulty":"no","mainStory":"","confusionStart":"","actionsReasoning":"","frustration":"","whatHappened":"","whatHappenedOther":"","location":"","locationOther":"","actions":"","actionsOther":"","timeRange":"","helped":"","helpedOther":"","repeatOccurrence":"","more":"","followupOk":"no"}</x:v>
      </x:c>
    </x:row>
    <x:row r="58">
      <x:c r="A58" s="2" t="n">
        <x:v>46282.26836410879</x:v>
      </x:c>
      <x:c r="B58" s="1" t="str">
        <x:v>en</x:v>
      </x:c>
      <x:c r="C58" s="1" t="str">
        <x:v>driver</x:v>
      </x:c>
      <x:c r="D58" s="1" t="str">
        <x:v>other</x:v>
      </x:c>
      <x:c r="E58"/>
      <x:c r="F58" s="1" t="str">
        <x:v>yes</x:v>
      </x:c>
      <x:c r="G58" s="1" t="str">
        <x:v>notsure</x:v>
      </x:c>
      <x:c r="H58" s="1" t="str">
        <x:v>Good</x:v>
      </x:c>
      <x:c r="I58"/>
      <x:c r="J58"/>
      <x:c r="K58"/>
      <x:c r="L58" s="1" t="str">
        <x:v>pin_restricted, similar_gates</x:v>
      </x:c>
      <x:c r="M58"/>
      <x:c r="N58" s="1" t="str">
        <x:v>airport, station, residential</x:v>
      </x:c>
      <x:c r="O58"/>
      <x:c r="P58" s="1" t="str">
        <x:v>called</x:v>
      </x:c>
      <x:c r="Q58"/>
      <x:c r="R58" s="1" t="str">
        <x:v>lt2</x:v>
      </x:c>
      <x:c r="S58" s="1" t="str">
        <x:v>landmark</x:v>
      </x:c>
      <x:c r="T58"/>
      <x:c r="U58" s="1" t="str">
        <x:v>no</x:v>
      </x:c>
      <x:c r="V58" s="1" t="str">
        <x:v>None</x:v>
      </x:c>
      <x:c r="W58" s="1" t="str">
        <x:v>yes</x:v>
      </x:c>
      <x:c r="X58"/>
      <x:c r="Y58" s="1" t="str">
        <x:v>{"timestamp":"2026-09-17T06:26:26.659Z","language":"en","role":"driver","city":"other","cityOther":"","scope4wheeler":"yes","difficulty":"notsure","mainStory":"Good","confusionStart":"","actionsReasoning":"","frustration":"","whatHappened":"pin_restricted, similar_gates","whatHappenedOther":"","location":"airport, station, residential","locationOther":"","actions":"called","actionsOther":"","timeRange":"lt2","helped":"landmark","helpedOther":"","repeatOccurrence":"no","more":"None","followupOk":"yes"}</x:v>
      </x:c>
    </x:row>
    <x:row r="59">
      <x:c r="A59" s="2" t="n">
        <x:v>46282.275743101854</x:v>
      </x:c>
      <x:c r="B59" s="1" t="str">
        <x:v>en</x:v>
      </x:c>
      <x:c r="C59" s="1" t="str">
        <x:v>rider</x:v>
      </x:c>
      <x:c r="D59" s="1" t="str">
        <x:v>hyderabad</x:v>
      </x:c>
      <x:c r="E59"/>
      <x:c r="F59" s="1" t="str">
        <x:v>yes</x:v>
      </x:c>
      <x:c r="G59" s="1" t="str">
        <x:v>no</x:v>
      </x:c>
      <x:c r="H59"/>
      <x:c r="I59"/>
      <x:c r="J59"/>
      <x:c r="K59"/>
      <x:c r="L59"/>
      <x:c r="M59"/>
      <x:c r="N59"/>
      <x:c r="O59"/>
      <x:c r="P59"/>
      <x:c r="Q59"/>
      <x:c r="R59"/>
      <x:c r="S59"/>
      <x:c r="T59"/>
      <x:c r="U59"/>
      <x:c r="V59"/>
      <x:c r="W59" s="1" t="str">
        <x:v>no</x:v>
      </x:c>
      <x:c r="X59"/>
      <x:c r="Y59" s="1" t="str">
        <x:v>{"timestamp":"2026-09-17T06:37:04.204Z","language":"en","role":"rider","city":"hyderabad","cityOther":"","scope4wheeler":"yes","difficulty":"no","mainStory":"","confusionStart":"","actionsReasoning":"","frustration":"","whatHappened":"","whatHappenedOther":"","location":"","locationOther":"","actions":"","actionsOther":"","timeRange":"","helped":"","helpedOther":"","repeatOccurrence":"","more":"","followupOk":"no"}</x:v>
      </x:c>
    </x:row>
    <x:row r="60">
      <x:c r="A60" s="2" t="n">
        <x:v>46282.29526900463</x:v>
      </x:c>
      <x:c r="B60" s="1" t="str">
        <x:v>en</x:v>
      </x:c>
      <x:c r="C60" s="1" t="str">
        <x:v>rider</x:v>
      </x:c>
      <x:c r="D60" s="1" t="str">
        <x:v>other</x:v>
      </x:c>
      <x:c r="E60"/>
      <x:c r="F60" s="1" t="str">
        <x:v>yes</x:v>
      </x:c>
      <x:c r="G60" s="1" t="str">
        <x:v>yes</x:v>
      </x:c>
      <x:c r="H60" s="1" t="str">
        <x:v>Yes en number of times it was canceled </x:v>
      </x:c>
      <x:c r="I60" s="1" t="str">
        <x:v>When ride was booked and it was allocated to someone or picked by someone it should be done </x:v>
      </x:c>
      <x:c r="J60" s="1" t="str">
        <x:v>Every time they asking about drop location how much amount shows in app and your payment mode cash or Uber cash </x:v>
      </x:c>
      <x:c r="K60" s="1" t="str">
        <x:v>Slow driving when it booked to airport </x:v>
      </x:c>
      <x:c r="L60" s="1" t="str">
        <x:v>cancelled</x:v>
      </x:c>
      <x:c r="M60"/>
      <x:c r="N60" s="1" t="str">
        <x:v>airport</x:v>
      </x:c>
      <x:c r="O60"/>
      <x:c r="P60" s="1" t="str">
        <x:v>messaged</x:v>
      </x:c>
      <x:c r="Q60"/>
      <x:c r="R60" s="1" t="str">
        <x:v>lt2</x:v>
      </x:c>
      <x:c r="S60" s="1" t="str">
        <x:v>called_messaged</x:v>
      </x:c>
      <x:c r="T60"/>
      <x:c r="U60" s="1" t="str">
        <x:v>yes</x:v>
      </x:c>
      <x:c r="V60" s="1" t="str">
        <x:v>Nothing </x:v>
      </x:c>
      <x:c r="W60" s="1" t="str">
        <x:v>no</x:v>
      </x:c>
      <x:c r="X60"/>
      <x:c r="Y60" s="1" t="str">
        <x:v>{"timestamp":"2026-09-17T07:05:11.242Z","language":"en","role":"rider","city":"other","cityOther":"","scope4wheeler":"yes","difficulty":"yes","mainStory":"Yes en number of times it was canceled ","confusionStart":"When ride was booked and it was allocated to someone or picked by someone it should be done ","actionsReasoning":"Every time they asking about drop location how much amount shows in app and your payment mode cash or Uber cash ","frustration":"Slow driving when it booked to airport ","whatHappened":"cancelled","whatHappenedOther":"","location":"airport","locationOther":"","actions":"messaged","actionsOther":"","timeRange":"lt2","helped":"called_messaged","helpedOther":"","repeatOccurrence":"yes","more":"Nothing ","followupOk":"no"}</x:v>
      </x:c>
    </x:row>
    <x:row r="61">
      <x:c r="A61" s="2" t="n">
        <x:v>46282.30467439815</x:v>
      </x:c>
      <x:c r="B61" s="1" t="str">
        <x:v>en</x:v>
      </x:c>
      <x:c r="C61" s="1" t="str">
        <x:v>rider</x:v>
      </x:c>
      <x:c r="D61" s="1" t="str">
        <x:v>hyderabad</x:v>
      </x:c>
      <x:c r="E61"/>
      <x:c r="F61" s="1" t="str">
        <x:v>no</x:v>
      </x:c>
      <x:c r="G61" s="1" t="str">
        <x:v>no</x:v>
      </x:c>
      <x:c r="H61"/>
      <x:c r="I61"/>
      <x:c r="J61"/>
      <x:c r="K61"/>
      <x:c r="L61"/>
      <x:c r="M61"/>
      <x:c r="N61"/>
      <x:c r="O61"/>
      <x:c r="P61"/>
      <x:c r="Q61"/>
      <x:c r="R61"/>
      <x:c r="S61"/>
      <x:c r="T61"/>
      <x:c r="U61"/>
      <x:c r="V61" s="1" t="str">
        <x:v>I always place a message on where i would stand with details
</x:v>
      </x:c>
      <x:c r="W61" s="1" t="str">
        <x:v>no</x:v>
      </x:c>
      <x:c r="X61"/>
      <x:c r="Y61" s="1" t="str">
        <x:v>{"timestamp":"2026-09-17T07:18:43.868Z","language":"en","role":"rider","city":"hyderabad","cityOther":"","scope4wheeler":"no","difficulty":"no","mainStory":"","confusionStart":"","actionsReasoning":"","frustration":"","whatHappened":"","whatHappenedOther":"","location":"","locationOther":"","actions":"","actionsOther":"","timeRange":"","helped":"","helpedOther":"","repeatOccurrence":"","more":"I always place a message on where i would stand with details\n","followupOk":"no"}</x:v>
      </x:c>
    </x:row>
    <x:row r="62">
      <x:c r="A62" s="2" t="n">
        <x:v>46282.34715475694</x:v>
      </x:c>
      <x:c r="B62" s="1" t="str">
        <x:v>en</x:v>
      </x:c>
      <x:c r="C62" s="1" t="str">
        <x:v>rider</x:v>
      </x:c>
      <x:c r="D62" s="1" t="str">
        <x:v>hyderabad</x:v>
      </x:c>
      <x:c r="E62"/>
      <x:c r="F62" s="1" t="str">
        <x:v>no</x:v>
      </x:c>
      <x:c r="G62" s="1" t="str">
        <x:v>no</x:v>
      </x:c>
      <x:c r="H62"/>
      <x:c r="I62"/>
      <x:c r="J62"/>
      <x:c r="K62"/>
      <x:c r="L62"/>
      <x:c r="M62"/>
      <x:c r="N62"/>
      <x:c r="O62"/>
      <x:c r="P62"/>
      <x:c r="Q62"/>
      <x:c r="R62"/>
      <x:c r="S62"/>
      <x:c r="T62"/>
      <x:c r="U62"/>
      <x:c r="V62"/>
      <x:c r="W62" s="1" t="str">
        <x:v>no</x:v>
      </x:c>
      <x:c r="X62"/>
      <x:c r="Y62" s="1" t="str">
        <x:v>{"timestamp":"2026-09-17T08:19:54.171Z","language":"en","role":"rider","city":"hyderabad","cityOther":"","scope4wheeler":"no","difficulty":"no","mainStory":"","confusionStart":"","actionsReasoning":"","frustration":"","whatHappened":"","whatHappenedOther":"","location":"","locationOther":"","actions":"","actionsOther":"","timeRange":"","helped":"","helpedOther":"","repeatOccurrence":"","more":"","followupOk":"no"}</x:v>
      </x:c>
    </x:row>
    <x:row r="63">
      <x:c r="A63" s="2" t="n">
        <x:v>46282.35340480324</x:v>
      </x:c>
      <x:c r="B63" s="1" t="str">
        <x:v>en</x:v>
      </x:c>
      <x:c r="C63" s="1" t="str">
        <x:v>rider</x:v>
      </x:c>
      <x:c r="D63" s="1" t="str">
        <x:v>hyderabad</x:v>
      </x:c>
      <x:c r="E63"/>
      <x:c r="F63" s="1" t="str">
        <x:v>yes</x:v>
      </x:c>
      <x:c r="G63" s="1" t="str">
        <x:v>yes</x:v>
      </x:c>
      <x:c r="H63" s="1" t="str">
        <x:v>One month back </x:v>
      </x:c>
      <x:c r="I63" s="1" t="str">
        <x:v>He was delayed </x:v>
      </x:c>
      <x:c r="J63" s="1" t="str">
        <x:v>We talked to each other </x:v>
      </x:c>
      <x:c r="K63" s="1" t="str">
        <x:v>No clarity </x:v>
      </x:c>
      <x:c r="L63" s="1" t="str">
        <x:v>other</x:v>
      </x:c>
      <x:c r="M63" s="1" t="str">
        <x:v>He did not reach in time </x:v>
      </x:c>
      <x:c r="N63" s="1" t="str">
        <x:v>airport</x:v>
      </x:c>
      <x:c r="O63"/>
      <x:c r="P63" s="1" t="str">
        <x:v>called</x:v>
      </x:c>
      <x:c r="Q63"/>
      <x:c r="R63" s="1" t="str">
        <x:v>5to15</x:v>
      </x:c>
      <x:c r="S63" s="1" t="str">
        <x:v>called_messaged</x:v>
      </x:c>
      <x:c r="T63"/>
      <x:c r="U63" s="1" t="str">
        <x:v>no</x:v>
      </x:c>
      <x:c r="V63"/>
      <x:c r="W63" s="1" t="str">
        <x:v>no</x:v>
      </x:c>
      <x:c r="X63"/>
      <x:c r="Y63" s="1" t="str">
        <x:v>{"timestamp":"2026-09-17T08:28:54.175Z","language":"en","role":"rider","city":"hyderabad","cityOther":"","scope4wheeler":"yes","difficulty":"yes","mainStory":"One month back ","confusionStart":"He was delayed ","actionsReasoning":"We talked to each other ","frustration":"No clarity ","whatHappened":"other","whatHappenedOther":"He did not reach in time ","location":"airport","locationOther":"","actions":"called","actionsOther":"","timeRange":"5to15","helped":"called_messaged","helpedOther":"","repeatOccurrence":"no","more":"","followupOk":"no"}</x:v>
      </x:c>
    </x:row>
    <x:row r="64">
      <x:c r="A64" s="3" t="n">
        <x:v>46282.42643353009</x:v>
      </x:c>
      <x:c r="B64" t="str">
        <x:v>en</x:v>
      </x:c>
      <x:c r="C64" t="str">
        <x:v>rider</x:v>
      </x:c>
      <x:c r="D64" t="str">
        <x:v>other</x:v>
      </x:c>
      <x:c r="E64" t="str">
        <x:v>Lucknow </x:v>
      </x:c>
      <x:c r="F64" t="str">
        <x:v>yes</x:v>
      </x:c>
      <x:c r="G64" t="str">
        <x:v>yes</x:v>
      </x:c>
      <x:c r="H64" t="str">
        <x:v>Date i dont remember. The driver told he is coming n didnt turn up n cancelled finally </x:v>
      </x:c>
      <x:c r="I64" t="str">
        <x:v>Confusion from the moment driver was alloted . I thought he will come but he kept on keeping me waiting </x:v>
      </x:c>
      <x:c r="J64" t="str">
        <x:v>Spoke to him, he told he is coming n didnt, dont cancel, still didnt come </x:v>
      </x:c>
      <x:c r="K64" t="str">
        <x:v>No one to seek redressal or help </x:v>
      </x:c>
      <x:c r="L64" t="str">
        <x:v>cancelled</x:v>
      </x:c>
      <x:c r="M64"/>
      <x:c r="N64" t="str">
        <x:v>airport</x:v>
      </x:c>
      <x:c r="O64"/>
      <x:c r="P64" t="str">
        <x:v>waited</x:v>
      </x:c>
      <x:c r="Q64"/>
      <x:c r="R64" t="str">
        <x:v>gt15</x:v>
      </x:c>
      <x:c r="S64" t="str">
        <x:v>nothing</x:v>
      </x:c>
      <x:c r="T64"/>
      <x:c r="U64" t="str">
        <x:v>yes</x:v>
      </x:c>
      <x:c r="V64" t="str">
        <x:v>Uber or Ola have no control over drivers. Grievance redressal has to b immediate </x:v>
      </x:c>
      <x:c r="W64" t="str">
        <x:v>yes</x:v>
      </x:c>
      <x:c r="X64"/>
      <x:c r="Y64" t="str">
        <x:v>{"timestamp":"2026-09-17T10:14:03.857Z","language":"en","role":"rider","city":"other","cityOther":"Lucknow ","scope4wheeler":"yes","difficulty":"yes","mainStory":"Date i dont remember. The driver told he is coming n didnt turn up n cancelled finally ","confusionStart":"Confusion from the moment driver was alloted . I thought he will come but he kept on keeping me waiting ","actionsReasoning":"Spoke to him, he told he is coming n didnt, dont cancel, still didnt come ","frustration":"No one to seek redressal or help ","whatHappened":"cancelled","whatHappenedOther":"","location":"airport","locationOther":"","actions":"waited","actionsOther":"","timeRange":"gt15","helped":"nothing","helpedOther":"","repeatOccurrence":"yes","more":"Uber or Ola have no control over drivers. Grievance redressal has to b immediate ","followupOk":"yes"}</x:v>
      </x:c>
    </x:row>
    <x:row r="65">
      <x:c r="A65" s="3" t="n">
        <x:v>46282.447343078704</x:v>
      </x:c>
      <x:c r="B65" t="str">
        <x:v>en</x:v>
      </x:c>
      <x:c r="C65" t="str">
        <x:v>rider</x:v>
      </x:c>
      <x:c r="D65" t="str">
        <x:v>hyderabad</x:v>
      </x:c>
      <x:c r="E65"/>
      <x:c r="F65" t="str">
        <x:v>yes</x:v>
      </x:c>
      <x:c r="G65" t="str">
        <x:v>no</x:v>
      </x:c>
      <x:c r="H65"/>
      <x:c r="I65"/>
      <x:c r="J65"/>
      <x:c r="K65"/>
      <x:c r="L65"/>
      <x:c r="M65"/>
      <x:c r="N65"/>
      <x:c r="O65"/>
      <x:c r="P65"/>
      <x:c r="Q65"/>
      <x:c r="R65"/>
      <x:c r="S65"/>
      <x:c r="T65"/>
      <x:c r="U65"/>
      <x:c r="V65" t="str">
        <x:v>As per my experience reduce wating time </x:v>
      </x:c>
      <x:c r="W65" t="str">
        <x:v>no</x:v>
      </x:c>
      <x:c r="X65"/>
      <x:c r="Y65" t="str">
        <x:v>{"timestamp":"2026-09-17T10:44:10.442Z","language":"en","role":"rider","city":"hyderabad","cityOther":"","scope4wheeler":"yes","difficulty":"no","mainStory":"","confusionStart":"","actionsReasoning":"","frustration":"","whatHappened":"","whatHappenedOther":"","location":"","locationOther":"","actions":"","actionsOther":"","timeRange":"","helped":"","helpedOther":"","repeatOccurrence":"","more":"As per my experience reduce wating time ","followupOk":"no"}</x:v>
      </x:c>
    </x:row>
    <x:row r="66">
      <x:c r="A66" s="3" t="n">
        <x:v>46282.470619837964</x:v>
      </x:c>
      <x:c r="B66" t="str">
        <x:v>en</x:v>
      </x:c>
      <x:c r="C66" t="str">
        <x:v>rider</x:v>
      </x:c>
      <x:c r="D66" t="str">
        <x:v>other</x:v>
      </x:c>
      <x:c r="E66" t="str">
        <x:v>Visakhapatnam </x:v>
      </x:c>
      <x:c r="F66" t="str">
        <x:v>yes</x:v>
      </x:c>
      <x:c r="G66" t="str">
        <x:v>no</x:v>
      </x:c>
      <x:c r="H66"/>
      <x:c r="I66"/>
      <x:c r="J66"/>
      <x:c r="K66"/>
      <x:c r="L66"/>
      <x:c r="M66"/>
      <x:c r="N66"/>
      <x:c r="O66"/>
      <x:c r="P66"/>
      <x:c r="Q66"/>
      <x:c r="R66"/>
      <x:c r="S66"/>
      <x:c r="T66"/>
      <x:c r="U66"/>
      <x:c r="V66"/>
      <x:c r="W66" t="str">
        <x:v>yes</x:v>
      </x:c>
      <x:c r="X66"/>
      <x:c r="Y66" t="str">
        <x:v>{"timestamp":"2026-09-17T11:17:41.554Z","language":"en","role":"rider","city":"other","cityOther":"Visakhapatnam ","scope4wheeler":"yes","difficulty":"no","mainStory":"","confusionStart":"","actionsReasoning":"","frustration":"","whatHappened":"","whatHappenedOther":"","location":"","locationOther":"","actions":"","actionsOther":"","timeRange":"","helped":"","helpedOther":"","repeatOccurrence":"","more":"","followupOk":"yes"}</x:v>
      </x:c>
    </x:row>
    <x:row r="67">
      <x:c r="A67" s="3" t="n">
        <x:v>46282.472829976854</x:v>
      </x:c>
      <x:c r="B67" t="str">
        <x:v>en</x:v>
      </x:c>
      <x:c r="C67" t="str">
        <x:v>rider</x:v>
      </x:c>
      <x:c r="D67" t="str">
        <x:v>other</x:v>
      </x:c>
      <x:c r="E67" t="str">
        <x:v>Ernakulam</x:v>
      </x:c>
      <x:c r="F67" t="str">
        <x:v>yes</x:v>
      </x:c>
      <x:c r="G67" t="str">
        <x:v>yes</x:v>
      </x:c>
      <x:c r="H67" t="str">
        <x:v>12th sept evening around 5.15pm from palarivattom to Elamakkara it took more than 10 minutes to capture the attn of driver , even though he was passing up snd down on cross road junction.</x:v>
      </x:c>
      <x:c r="I67" t="str">
        <x:v>The aap says he has arrived, but almost 10 minutes to locate each other</x:v>
      </x:c>
      <x:c r="J67" t="str">
        <x:v>We said 'hi, and got in</x:v>
      </x:c>
      <x:c r="K67" t="str">
        <x:v>Generally the driver cancels trip without no prior indication</x:v>
      </x:c>
      <x:c r="L67" t="str">
        <x:v>similar_gates</x:v>
      </x:c>
      <x:c r="M67"/>
      <x:c r="N67" t="str">
        <x:v>street</x:v>
      </x:c>
      <x:c r="O67"/>
      <x:c r="P67" t="str">
        <x:v>called, moved, waited</x:v>
      </x:c>
      <x:c r="Q67"/>
      <x:c r="R67" t="str">
        <x:v>5to15</x:v>
      </x:c>
      <x:c r="S67" t="str">
        <x:v>called_messaged</x:v>
      </x:c>
      <x:c r="T67"/>
      <x:c r="U67" t="str">
        <x:v>yes</x:v>
      </x:c>
      <x:c r="V67"/>
      <x:c r="W67" t="str">
        <x:v>yes</x:v>
      </x:c>
      <x:c r="X67"/>
      <x:c r="Y67" t="str">
        <x:v>{"timestamp":"2026-09-17T11:20:52.510Z","language":"en","role":"rider","city":"other","cityOther":"Ernakulam","scope4wheeler":"yes","difficulty":"yes","mainStory":"12th sept evening around 5.15pm from palarivattom to Elamakkara it took more than 10 minutes to capture the attn of driver , even though he was passing up snd down on cross road junction.","confusionStart":"The aap says he has arrived, but almost 10 minutes to locate each other","actionsReasoning":"We said 'hi, and got in","frustration":"Generally the driver cancels trip without no prior indication","whatHappened":"similar_gates","whatHappenedOther":"","location":"street","locationOther":"","actions":"called, moved, waited","actionsOther":"","timeRange":"5to15","helped":"called_messaged","helpedOther":"","repeatOccurrence":"yes","more":"","followupOk":"yes"}</x:v>
      </x:c>
    </x:row>
    <x:row r="68">
      <x:c r="A68" s="3" t="n">
        <x:v>46282.50891619213</x:v>
      </x:c>
      <x:c r="B68" t="str">
        <x:v>en</x:v>
      </x:c>
      <x:c r="C68" t="str">
        <x:v>rider</x:v>
      </x:c>
      <x:c r="D68" t="str">
        <x:v>other</x:v>
      </x:c>
      <x:c r="E68" t="str">
        <x:v>Chandigarh</x:v>
      </x:c>
      <x:c r="F68" t="str">
        <x:v>no</x:v>
      </x:c>
      <x:c r="G68" t="str">
        <x:v>no</x:v>
      </x:c>
      <x:c r="H68"/>
      <x:c r="I68"/>
      <x:c r="J68"/>
      <x:c r="K68"/>
      <x:c r="L68"/>
      <x:c r="M68"/>
      <x:c r="N68"/>
      <x:c r="O68"/>
      <x:c r="P68"/>
      <x:c r="Q68"/>
      <x:c r="R68"/>
      <x:c r="S68"/>
      <x:c r="T68"/>
      <x:c r="U68"/>
      <x:c r="V68" t="str">
        <x:v>No</x:v>
      </x:c>
      <x:c r="W68" t="str">
        <x:v>no</x:v>
      </x:c>
      <x:c r="X68"/>
      <x:c r="Y68" t="str">
        <x:v>{"timestamp":"2026-09-17T12:12:50.359Z","language":"en","role":"rider","city":"other","cityOther":"Chandigarh","scope4wheeler":"no","difficulty":"no","mainStory":"","confusionStart":"","actionsReasoning":"","frustration":"","whatHappened":"","whatHappenedOther":"","location":"","locationOther":"","actions":"","actionsOther":"","timeRange":"","helped":"","helpedOther":"","repeatOccurrence":"","more":"No","followupOk":"no"}</x:v>
      </x:c>
    </x:row>
    <x:row r="69">
      <x:c r="A69" s="3"/>
      <x:c r="B69"/>
      <x:c r="C69"/>
      <x:c r="D69"/>
      <x:c r="E69"/>
      <x:c r="F69"/>
      <x:c r="G69"/>
      <x:c r="H69"/>
      <x:c r="I69"/>
      <x:c r="J69"/>
      <x:c r="K69"/>
      <x:c r="L69"/>
      <x:c r="M69"/>
      <x:c r="N69"/>
      <x:c r="O69"/>
      <x:c r="P69"/>
      <x:c r="Q69"/>
      <x:c r="R69"/>
      <x:c r="S69"/>
      <x:c r="T69"/>
      <x:c r="U69"/>
      <x:c r="V69"/>
      <x:c r="W69"/>
      <x:c r="X69"/>
      <x:c r="Y69"/>
    </x:row>
    <x:row r="70">
      <x:c r="A70" s="3"/>
      <x:c r="B70"/>
      <x:c r="C70"/>
      <x:c r="D70"/>
      <x:c r="E70"/>
      <x:c r="F70"/>
      <x:c r="G70"/>
      <x:c r="H70"/>
      <x:c r="I70"/>
      <x:c r="J70"/>
      <x:c r="K70"/>
      <x:c r="L70"/>
      <x:c r="M70"/>
      <x:c r="N70"/>
      <x:c r="O70"/>
      <x:c r="P70"/>
      <x:c r="Q70"/>
      <x:c r="R70"/>
      <x:c r="S70"/>
      <x:c r="T70"/>
      <x:c r="U70"/>
      <x:c r="V70"/>
      <x:c r="W70"/>
      <x:c r="X70"/>
      <x:c r="Y70"/>
    </x:row>
    <x:row r="71">
      <x:c r="A71" s="3"/>
      <x:c r="B71"/>
      <x:c r="C71"/>
      <x:c r="D71"/>
      <x:c r="E71"/>
      <x:c r="F71"/>
      <x:c r="G71"/>
      <x:c r="H71"/>
      <x:c r="I71"/>
      <x:c r="J71"/>
      <x:c r="K71"/>
      <x:c r="L71"/>
      <x:c r="M71"/>
      <x:c r="N71"/>
      <x:c r="O71"/>
      <x:c r="P71"/>
      <x:c r="Q71"/>
      <x:c r="R71"/>
      <x:c r="S71"/>
      <x:c r="T71"/>
      <x:c r="U71"/>
      <x:c r="V71"/>
      <x:c r="W71"/>
      <x:c r="X71"/>
      <x:c r="Y71"/>
    </x:row>
    <x:row r="72">
      <x:c r="A72" s="3"/>
      <x:c r="B72"/>
      <x:c r="C72"/>
      <x:c r="D72"/>
      <x:c r="E72"/>
      <x:c r="F72"/>
      <x:c r="G72"/>
      <x:c r="H72"/>
      <x:c r="I72"/>
      <x:c r="J72"/>
      <x:c r="K72"/>
      <x:c r="L72"/>
      <x:c r="M72"/>
      <x:c r="N72"/>
      <x:c r="O72"/>
      <x:c r="P72"/>
      <x:c r="Q72"/>
      <x:c r="R72"/>
      <x:c r="S72"/>
      <x:c r="T72"/>
      <x:c r="U72"/>
      <x:c r="V72"/>
      <x:c r="W72"/>
      <x:c r="X72"/>
      <x:c r="Y72"/>
    </x:row>
    <x:row r="73">
      <x:c r="A73" s="3"/>
      <x:c r="B73"/>
      <x:c r="C73"/>
      <x:c r="D73"/>
      <x:c r="E73"/>
      <x:c r="F73"/>
      <x:c r="G73"/>
      <x:c r="H73"/>
      <x:c r="I73"/>
      <x:c r="J73"/>
      <x:c r="K73"/>
      <x:c r="L73"/>
      <x:c r="M73"/>
      <x:c r="N73"/>
      <x:c r="O73"/>
      <x:c r="P73"/>
      <x:c r="Q73"/>
      <x:c r="R73"/>
      <x:c r="S73"/>
      <x:c r="T73"/>
      <x:c r="U73"/>
      <x:c r="V73"/>
      <x:c r="W73"/>
      <x:c r="X73"/>
      <x:c r="Y73"/>
    </x:row>
    <x:row r="74">
      <x:c r="A74" s="3"/>
      <x:c r="B74"/>
      <x:c r="C74"/>
      <x:c r="D74"/>
      <x:c r="E74"/>
      <x:c r="F74"/>
      <x:c r="G74"/>
      <x:c r="H74"/>
      <x:c r="I74"/>
      <x:c r="J74"/>
      <x:c r="K74"/>
      <x:c r="L74"/>
      <x:c r="M74"/>
      <x:c r="N74"/>
      <x:c r="O74"/>
      <x:c r="P74"/>
      <x:c r="Q74"/>
      <x:c r="R74"/>
      <x:c r="S74"/>
      <x:c r="T74"/>
      <x:c r="U74"/>
      <x:c r="V74"/>
      <x:c r="W74"/>
      <x:c r="X74"/>
      <x:c r="Y74"/>
    </x:row>
    <x:row r="75">
      <x:c r="A75" s="3"/>
      <x:c r="B75"/>
      <x:c r="C75"/>
      <x:c r="D75"/>
      <x:c r="E75"/>
      <x:c r="F75"/>
      <x:c r="G75"/>
      <x:c r="H75"/>
      <x:c r="I75"/>
      <x:c r="J75"/>
      <x:c r="K75"/>
      <x:c r="L75"/>
      <x:c r="M75"/>
      <x:c r="N75"/>
      <x:c r="O75"/>
      <x:c r="P75"/>
      <x:c r="Q75"/>
      <x:c r="R75"/>
      <x:c r="S75"/>
      <x:c r="T75"/>
      <x:c r="U75"/>
      <x:c r="V75"/>
      <x:c r="W75"/>
      <x:c r="X75"/>
      <x:c r="Y75"/>
    </x:row>
    <x:row r="76">
      <x:c r="A76" s="3"/>
      <x:c r="B76"/>
      <x:c r="C76"/>
      <x:c r="D76"/>
      <x:c r="E76"/>
      <x:c r="F76"/>
      <x:c r="G76"/>
      <x:c r="H76"/>
      <x:c r="I76"/>
      <x:c r="J76"/>
      <x:c r="K76"/>
      <x:c r="L76"/>
      <x:c r="M76"/>
      <x:c r="N76"/>
      <x:c r="O76"/>
      <x:c r="P76"/>
      <x:c r="Q76"/>
      <x:c r="R76"/>
      <x:c r="S76"/>
      <x:c r="T76"/>
      <x:c r="U76"/>
      <x:c r="V76"/>
      <x:c r="W76"/>
      <x:c r="X76"/>
      <x:c r="Y76"/>
    </x:row>
    <x:row r="77">
      <x:c r="A77" s="3"/>
      <x:c r="B77"/>
      <x:c r="C77"/>
      <x:c r="D77"/>
      <x:c r="E77"/>
      <x:c r="F77"/>
      <x:c r="G77"/>
      <x:c r="H77"/>
      <x:c r="I77"/>
      <x:c r="J77"/>
      <x:c r="K77"/>
      <x:c r="L77"/>
      <x:c r="M77"/>
      <x:c r="N77"/>
      <x:c r="O77"/>
      <x:c r="P77"/>
      <x:c r="Q77"/>
      <x:c r="R77"/>
      <x:c r="S77"/>
      <x:c r="T77"/>
      <x:c r="U77"/>
      <x:c r="V77"/>
      <x:c r="W77"/>
      <x:c r="X77"/>
      <x:c r="Y77"/>
    </x:row>
    <x:row r="78">
      <x:c r="A78" s="3"/>
      <x:c r="B78"/>
      <x:c r="C78"/>
      <x:c r="D78"/>
      <x:c r="E78"/>
      <x:c r="F78"/>
      <x:c r="G78"/>
      <x:c r="H78"/>
      <x:c r="I78"/>
      <x:c r="J78"/>
      <x:c r="K78"/>
      <x:c r="L78"/>
      <x:c r="M78"/>
      <x:c r="N78"/>
      <x:c r="O78"/>
      <x:c r="P78"/>
      <x:c r="Q78"/>
      <x:c r="R78"/>
      <x:c r="S78"/>
      <x:c r="T78"/>
      <x:c r="U78"/>
      <x:c r="V78"/>
      <x:c r="W78"/>
      <x:c r="X78"/>
      <x:c r="Y78"/>
    </x:row>
    <x:row r="79">
      <x:c r="A79" s="3"/>
      <x:c r="B79"/>
      <x:c r="C79"/>
      <x:c r="D79"/>
      <x:c r="E79"/>
      <x:c r="F79"/>
      <x:c r="G79"/>
      <x:c r="H79"/>
      <x:c r="I79"/>
      <x:c r="J79"/>
      <x:c r="K79"/>
      <x:c r="L79"/>
      <x:c r="M79"/>
      <x:c r="N79"/>
      <x:c r="O79"/>
      <x:c r="P79"/>
      <x:c r="Q79"/>
      <x:c r="R79"/>
      <x:c r="S79"/>
      <x:c r="T79"/>
      <x:c r="U79"/>
      <x:c r="V79"/>
      <x:c r="W79"/>
      <x:c r="X79"/>
      <x:c r="Y79"/>
    </x:row>
    <x:row r="80">
      <x:c r="A80" s="3"/>
      <x:c r="B80"/>
      <x:c r="C80"/>
      <x:c r="D80"/>
      <x:c r="E80"/>
      <x:c r="F80"/>
      <x:c r="G80"/>
      <x:c r="H80"/>
      <x:c r="I80"/>
      <x:c r="J80"/>
      <x:c r="K80"/>
      <x:c r="L80"/>
      <x:c r="M80"/>
      <x:c r="N80"/>
      <x:c r="O80"/>
      <x:c r="P80"/>
      <x:c r="Q80"/>
      <x:c r="R80"/>
      <x:c r="S80"/>
      <x:c r="T80"/>
      <x:c r="U80"/>
      <x:c r="V80"/>
      <x:c r="W80"/>
      <x:c r="X80"/>
      <x:c r="Y80"/>
    </x:row>
    <x:row r="81">
      <x:c r="A81" s="3"/>
      <x:c r="B81"/>
      <x:c r="C81"/>
      <x:c r="D81"/>
      <x:c r="E81"/>
      <x:c r="F81"/>
      <x:c r="G81"/>
      <x:c r="H81"/>
      <x:c r="I81"/>
      <x:c r="J81"/>
      <x:c r="K81"/>
      <x:c r="L81"/>
      <x:c r="M81"/>
      <x:c r="N81"/>
      <x:c r="O81"/>
      <x:c r="P81"/>
      <x:c r="Q81"/>
      <x:c r="R81"/>
      <x:c r="S81"/>
      <x:c r="T81"/>
      <x:c r="U81"/>
      <x:c r="V81"/>
      <x:c r="W81"/>
      <x:c r="X81"/>
      <x:c r="Y81"/>
    </x:row>
    <x:row r="82">
      <x:c r="A82" s="3"/>
      <x:c r="B82"/>
      <x:c r="C82"/>
      <x:c r="D82"/>
      <x:c r="E82"/>
      <x:c r="F82"/>
      <x:c r="G82"/>
      <x:c r="H82"/>
      <x:c r="I82"/>
      <x:c r="J82"/>
      <x:c r="K82"/>
      <x:c r="L82"/>
      <x:c r="M82"/>
      <x:c r="N82"/>
      <x:c r="O82"/>
      <x:c r="P82"/>
      <x:c r="Q82"/>
      <x:c r="R82"/>
      <x:c r="S82"/>
      <x:c r="T82"/>
      <x:c r="U82"/>
      <x:c r="V82"/>
      <x:c r="W82"/>
      <x:c r="X82"/>
      <x:c r="Y82"/>
    </x:row>
    <x:row r="83">
      <x:c r="A83" s="3"/>
      <x:c r="B83"/>
      <x:c r="C83"/>
      <x:c r="D83"/>
      <x:c r="E83"/>
      <x:c r="F83"/>
      <x:c r="G83"/>
      <x:c r="H83"/>
      <x:c r="I83"/>
      <x:c r="J83"/>
      <x:c r="K83"/>
      <x:c r="L83"/>
      <x:c r="M83"/>
      <x:c r="N83"/>
      <x:c r="O83"/>
      <x:c r="P83"/>
      <x:c r="Q83"/>
      <x:c r="R83"/>
      <x:c r="S83"/>
      <x:c r="T83"/>
      <x:c r="U83"/>
      <x:c r="V83"/>
      <x:c r="W83"/>
      <x:c r="X83"/>
      <x:c r="Y83"/>
    </x:row>
    <x:row r="84">
      <x:c r="A84" s="3"/>
      <x:c r="B84"/>
      <x:c r="C84"/>
      <x:c r="D84"/>
      <x:c r="E84"/>
      <x:c r="F84"/>
      <x:c r="G84"/>
      <x:c r="H84"/>
      <x:c r="I84"/>
      <x:c r="J84"/>
      <x:c r="K84"/>
      <x:c r="L84"/>
      <x:c r="M84"/>
      <x:c r="N84"/>
      <x:c r="O84"/>
      <x:c r="P84"/>
      <x:c r="Q84"/>
      <x:c r="R84"/>
      <x:c r="S84"/>
      <x:c r="T84"/>
      <x:c r="U84"/>
      <x:c r="V84"/>
      <x:c r="W84"/>
      <x:c r="X84"/>
      <x:c r="Y84"/>
    </x:row>
    <x:row r="85">
      <x:c r="A85" s="3"/>
      <x:c r="B85"/>
      <x:c r="C85"/>
      <x:c r="D85"/>
      <x:c r="E85"/>
      <x:c r="F85"/>
      <x:c r="G85"/>
      <x:c r="H85"/>
      <x:c r="I85"/>
      <x:c r="J85"/>
      <x:c r="K85"/>
      <x:c r="L85"/>
      <x:c r="M85"/>
      <x:c r="N85"/>
      <x:c r="O85"/>
      <x:c r="P85"/>
      <x:c r="Q85"/>
      <x:c r="R85"/>
      <x:c r="S85"/>
      <x:c r="T85"/>
      <x:c r="U85"/>
      <x:c r="V85"/>
      <x:c r="W85"/>
      <x:c r="X85"/>
      <x:c r="Y85"/>
    </x:row>
    <x:row r="86">
      <x:c r="A86" s="3"/>
      <x:c r="B86"/>
      <x:c r="C86"/>
      <x:c r="D86"/>
      <x:c r="E86"/>
      <x:c r="F86"/>
      <x:c r="G86"/>
      <x:c r="H86"/>
      <x:c r="I86"/>
      <x:c r="J86"/>
      <x:c r="K86"/>
      <x:c r="L86"/>
      <x:c r="M86"/>
      <x:c r="N86"/>
      <x:c r="O86"/>
      <x:c r="P86"/>
      <x:c r="Q86"/>
      <x:c r="R86"/>
      <x:c r="S86"/>
      <x:c r="T86"/>
      <x:c r="U86"/>
      <x:c r="V86"/>
      <x:c r="W86"/>
      <x:c r="X86"/>
      <x:c r="Y86"/>
    </x:row>
    <x:row r="87">
      <x:c r="A87" s="3"/>
      <x:c r="B87"/>
      <x:c r="C87"/>
      <x:c r="D87"/>
      <x:c r="E87"/>
      <x:c r="F87"/>
      <x:c r="G87"/>
      <x:c r="H87"/>
      <x:c r="I87"/>
      <x:c r="J87"/>
      <x:c r="K87"/>
      <x:c r="L87"/>
      <x:c r="M87"/>
      <x:c r="N87"/>
      <x:c r="O87"/>
      <x:c r="P87"/>
      <x:c r="Q87"/>
      <x:c r="R87"/>
      <x:c r="S87"/>
      <x:c r="T87"/>
      <x:c r="U87"/>
      <x:c r="V87"/>
      <x:c r="W87"/>
      <x:c r="X87"/>
      <x:c r="Y87"/>
    </x:row>
    <x:row r="88">
      <x:c r="A88" s="3"/>
      <x:c r="B88"/>
      <x:c r="C88"/>
      <x:c r="D88"/>
      <x:c r="E88"/>
      <x:c r="F88"/>
      <x:c r="G88"/>
      <x:c r="H88"/>
      <x:c r="I88"/>
      <x:c r="J88"/>
      <x:c r="K88"/>
      <x:c r="L88"/>
      <x:c r="M88"/>
      <x:c r="N88"/>
      <x:c r="O88"/>
      <x:c r="P88"/>
      <x:c r="Q88"/>
      <x:c r="R88"/>
      <x:c r="S88"/>
      <x:c r="T88"/>
      <x:c r="U88"/>
      <x:c r="V88"/>
      <x:c r="W88"/>
      <x:c r="X88"/>
      <x:c r="Y88"/>
    </x:row>
    <x:row r="89">
      <x:c r="A89" s="3"/>
      <x:c r="B89"/>
      <x:c r="C89"/>
      <x:c r="D89"/>
      <x:c r="E89"/>
      <x:c r="F89"/>
      <x:c r="G89"/>
      <x:c r="H89"/>
      <x:c r="I89"/>
      <x:c r="J89"/>
      <x:c r="K89"/>
      <x:c r="L89"/>
      <x:c r="M89"/>
      <x:c r="N89"/>
      <x:c r="O89"/>
      <x:c r="P89"/>
      <x:c r="Q89"/>
      <x:c r="R89"/>
      <x:c r="S89"/>
      <x:c r="T89"/>
      <x:c r="U89"/>
      <x:c r="V89"/>
      <x:c r="W89"/>
      <x:c r="X89"/>
      <x:c r="Y89"/>
    </x:row>
    <x:row r="90">
      <x:c r="A90" s="3"/>
      <x:c r="B90"/>
      <x:c r="C90"/>
      <x:c r="D90"/>
      <x:c r="E90"/>
      <x:c r="F90"/>
      <x:c r="G90"/>
      <x:c r="H90"/>
      <x:c r="I90"/>
      <x:c r="J90"/>
      <x:c r="K90"/>
      <x:c r="L90"/>
      <x:c r="M90"/>
      <x:c r="N90"/>
      <x:c r="O90"/>
      <x:c r="P90"/>
      <x:c r="Q90"/>
      <x:c r="R90"/>
      <x:c r="S90"/>
      <x:c r="T90"/>
      <x:c r="U90"/>
      <x:c r="V90"/>
      <x:c r="W90"/>
      <x:c r="X90"/>
      <x:c r="Y90"/>
    </x:row>
    <x:row r="91">
      <x:c r="A91" s="3"/>
      <x:c r="B91"/>
      <x:c r="C91"/>
      <x:c r="D91"/>
      <x:c r="E91"/>
      <x:c r="F91"/>
      <x:c r="G91"/>
      <x:c r="H91"/>
      <x:c r="I91"/>
      <x:c r="J91"/>
      <x:c r="K91"/>
      <x:c r="L91"/>
      <x:c r="M91"/>
      <x:c r="N91"/>
      <x:c r="O91"/>
      <x:c r="P91"/>
      <x:c r="Q91"/>
      <x:c r="R91"/>
      <x:c r="S91"/>
      <x:c r="T91"/>
      <x:c r="U91"/>
      <x:c r="V91"/>
      <x:c r="W91"/>
      <x:c r="X91"/>
      <x:c r="Y91"/>
    </x:row>
    <x:row r="92">
      <x:c r="A92" s="3"/>
      <x:c r="B92"/>
      <x:c r="C92"/>
      <x:c r="D92"/>
      <x:c r="E92"/>
      <x:c r="F92"/>
      <x:c r="G92"/>
      <x:c r="H92"/>
      <x:c r="I92"/>
      <x:c r="J92"/>
      <x:c r="K92"/>
      <x:c r="L92"/>
      <x:c r="M92"/>
      <x:c r="N92"/>
      <x:c r="O92"/>
      <x:c r="P92"/>
      <x:c r="Q92"/>
      <x:c r="R92"/>
      <x:c r="S92"/>
      <x:c r="T92"/>
      <x:c r="U92"/>
      <x:c r="V92"/>
      <x:c r="W92"/>
      <x:c r="X92"/>
      <x:c r="Y92"/>
    </x:row>
    <x:row r="93">
      <x:c r="A93" s="3"/>
      <x:c r="B93"/>
      <x:c r="C93"/>
      <x:c r="D93"/>
      <x:c r="E93"/>
      <x:c r="F93"/>
      <x:c r="G93"/>
      <x:c r="H93"/>
      <x:c r="I93"/>
      <x:c r="J93"/>
      <x:c r="K93"/>
      <x:c r="L93"/>
      <x:c r="M93"/>
      <x:c r="N93"/>
      <x:c r="O93"/>
      <x:c r="P93"/>
      <x:c r="Q93"/>
      <x:c r="R93"/>
      <x:c r="S93"/>
      <x:c r="T93"/>
      <x:c r="U93"/>
      <x:c r="V93"/>
      <x:c r="W93"/>
      <x:c r="X93"/>
      <x:c r="Y93"/>
    </x:row>
    <x:row r="94">
      <x:c r="A94" s="3"/>
      <x:c r="B94"/>
      <x:c r="C94"/>
      <x:c r="D94"/>
      <x:c r="E94"/>
      <x:c r="F94"/>
      <x:c r="G94"/>
      <x:c r="H94"/>
      <x:c r="I94"/>
      <x:c r="J94"/>
      <x:c r="K94"/>
      <x:c r="L94"/>
      <x:c r="M94"/>
      <x:c r="N94"/>
      <x:c r="O94"/>
      <x:c r="P94"/>
      <x:c r="Q94"/>
      <x:c r="R94"/>
      <x:c r="S94"/>
      <x:c r="T94"/>
      <x:c r="U94"/>
      <x:c r="V94"/>
      <x:c r="W94"/>
      <x:c r="X94"/>
      <x:c r="Y94"/>
    </x:row>
    <x:row r="95">
      <x:c r="A95" s="3"/>
      <x:c r="B95"/>
      <x:c r="C95"/>
      <x:c r="D95"/>
      <x:c r="E95"/>
      <x:c r="F95"/>
      <x:c r="G95"/>
      <x:c r="H95"/>
      <x:c r="I95"/>
      <x:c r="J95"/>
      <x:c r="K95"/>
      <x:c r="L95"/>
      <x:c r="M95"/>
      <x:c r="N95"/>
      <x:c r="O95"/>
      <x:c r="P95"/>
      <x:c r="Q95"/>
      <x:c r="R95"/>
      <x:c r="S95"/>
      <x:c r="T95"/>
      <x:c r="U95"/>
      <x:c r="V95"/>
      <x:c r="W95"/>
      <x:c r="X95"/>
      <x:c r="Y95"/>
    </x:row>
    <x:row r="96">
      <x:c r="A96" s="3"/>
      <x:c r="B96"/>
      <x:c r="C96"/>
      <x:c r="D96"/>
      <x:c r="E96"/>
      <x:c r="F96"/>
      <x:c r="G96"/>
      <x:c r="H96"/>
      <x:c r="I96"/>
      <x:c r="J96"/>
      <x:c r="K96"/>
      <x:c r="L96"/>
      <x:c r="M96"/>
      <x:c r="N96"/>
      <x:c r="O96"/>
      <x:c r="P96"/>
      <x:c r="Q96"/>
      <x:c r="R96"/>
      <x:c r="S96"/>
      <x:c r="T96"/>
      <x:c r="U96"/>
      <x:c r="V96"/>
      <x:c r="W96"/>
      <x:c r="X96"/>
      <x:c r="Y96"/>
    </x:row>
    <x:row r="97">
      <x:c r="A97" s="3"/>
      <x:c r="B97"/>
      <x:c r="C97"/>
      <x:c r="D97"/>
      <x:c r="E97"/>
      <x:c r="F97"/>
      <x:c r="G97"/>
      <x:c r="H97"/>
      <x:c r="I97"/>
      <x:c r="J97"/>
      <x:c r="K97"/>
      <x:c r="L97"/>
      <x:c r="M97"/>
      <x:c r="N97"/>
      <x:c r="O97"/>
      <x:c r="P97"/>
      <x:c r="Q97"/>
      <x:c r="R97"/>
      <x:c r="S97"/>
      <x:c r="T97"/>
      <x:c r="U97"/>
      <x:c r="V97"/>
      <x:c r="W97"/>
      <x:c r="X97"/>
      <x:c r="Y97"/>
    </x:row>
    <x:row r="98">
      <x:c r="A98" s="3"/>
      <x:c r="B98"/>
      <x:c r="C98"/>
      <x:c r="D98"/>
      <x:c r="E98"/>
      <x:c r="F98"/>
      <x:c r="G98"/>
      <x:c r="H98"/>
      <x:c r="I98"/>
      <x:c r="J98"/>
      <x:c r="K98"/>
      <x:c r="L98"/>
      <x:c r="M98"/>
      <x:c r="N98"/>
      <x:c r="O98"/>
      <x:c r="P98"/>
      <x:c r="Q98"/>
      <x:c r="R98"/>
      <x:c r="S98"/>
      <x:c r="T98"/>
      <x:c r="U98"/>
      <x:c r="V98"/>
      <x:c r="W98"/>
      <x:c r="X98"/>
      <x:c r="Y98"/>
    </x:row>
    <x:row r="99">
      <x:c r="A99" s="3"/>
      <x:c r="B99"/>
      <x:c r="C99"/>
      <x:c r="D99"/>
      <x:c r="E99"/>
      <x:c r="F99"/>
      <x:c r="G99"/>
      <x:c r="H99"/>
      <x:c r="I99"/>
      <x:c r="J99"/>
      <x:c r="K99"/>
      <x:c r="L99"/>
      <x:c r="M99"/>
      <x:c r="N99"/>
      <x:c r="O99"/>
      <x:c r="P99"/>
      <x:c r="Q99"/>
      <x:c r="R99"/>
      <x:c r="S99"/>
      <x:c r="T99"/>
      <x:c r="U99"/>
      <x:c r="V99"/>
      <x:c r="W99"/>
      <x:c r="X99"/>
      <x:c r="Y99"/>
    </x:row>
    <x:row r="100">
      <x:c r="A100" s="3"/>
      <x:c r="B100"/>
      <x:c r="C100"/>
      <x:c r="D100"/>
      <x:c r="E100"/>
      <x:c r="F100"/>
      <x:c r="G100"/>
      <x:c r="H100"/>
      <x:c r="I100"/>
      <x:c r="J100"/>
      <x:c r="K100"/>
      <x:c r="L100"/>
      <x:c r="M100"/>
      <x:c r="N100"/>
      <x:c r="O100"/>
      <x:c r="P100"/>
      <x:c r="Q100"/>
      <x:c r="R100"/>
      <x:c r="S100"/>
      <x:c r="T100"/>
      <x:c r="U100"/>
      <x:c r="V100"/>
      <x:c r="W100"/>
      <x:c r="X100"/>
      <x:c r="Y100"/>
    </x:row>
    <x:row r="101">
      <x:c r="A101" s="3"/>
      <x:c r="B101"/>
      <x:c r="C101"/>
      <x:c r="D101"/>
      <x:c r="E101"/>
      <x:c r="F101"/>
      <x:c r="G101"/>
      <x:c r="H101"/>
      <x:c r="I101"/>
      <x:c r="J101"/>
      <x:c r="K101"/>
      <x:c r="L101"/>
      <x:c r="M101"/>
      <x:c r="N101"/>
      <x:c r="O101"/>
      <x:c r="P101"/>
      <x:c r="Q101"/>
      <x:c r="R101"/>
      <x:c r="S101"/>
      <x:c r="T101"/>
      <x:c r="U101"/>
      <x:c r="V101"/>
      <x:c r="W101"/>
      <x:c r="X101"/>
      <x:c r="Y101"/>
    </x:row>
    <x:row r="102">
      <x:c r="A102" s="3"/>
      <x:c r="B102"/>
      <x:c r="C102"/>
      <x:c r="D102"/>
      <x:c r="E102"/>
      <x:c r="F102"/>
      <x:c r="G102"/>
      <x:c r="H102"/>
      <x:c r="I102"/>
      <x:c r="J102"/>
      <x:c r="K102"/>
      <x:c r="L102"/>
      <x:c r="M102"/>
      <x:c r="N102"/>
      <x:c r="O102"/>
      <x:c r="P102"/>
      <x:c r="Q102"/>
      <x:c r="R102"/>
      <x:c r="S102"/>
      <x:c r="T102"/>
      <x:c r="U102"/>
      <x:c r="V102"/>
      <x:c r="W102"/>
      <x:c r="X102"/>
      <x:c r="Y102"/>
    </x:row>
    <x:row r="103">
      <x:c r="A103" s="3"/>
      <x:c r="B103"/>
      <x:c r="C103"/>
      <x:c r="D103"/>
      <x:c r="E103"/>
      <x:c r="F103"/>
      <x:c r="G103"/>
      <x:c r="H103"/>
      <x:c r="I103"/>
      <x:c r="J103"/>
      <x:c r="K103"/>
      <x:c r="L103"/>
      <x:c r="M103"/>
      <x:c r="N103"/>
      <x:c r="O103"/>
      <x:c r="P103"/>
      <x:c r="Q103"/>
      <x:c r="R103"/>
      <x:c r="S103"/>
      <x:c r="T103"/>
      <x:c r="U103"/>
      <x:c r="V103"/>
      <x:c r="W103"/>
      <x:c r="X103"/>
      <x:c r="Y103"/>
    </x:row>
    <x:row r="104">
      <x:c r="A104" s="3"/>
      <x:c r="B104"/>
      <x:c r="C104"/>
      <x:c r="D104"/>
      <x:c r="E104"/>
      <x:c r="F104"/>
      <x:c r="G104"/>
      <x:c r="H104"/>
      <x:c r="I104"/>
      <x:c r="J104"/>
      <x:c r="K104"/>
      <x:c r="L104"/>
      <x:c r="M104"/>
      <x:c r="N104"/>
      <x:c r="O104"/>
      <x:c r="P104"/>
      <x:c r="Q104"/>
      <x:c r="R104"/>
      <x:c r="S104"/>
      <x:c r="T104"/>
      <x:c r="U104"/>
      <x:c r="V104"/>
      <x:c r="W104"/>
      <x:c r="X104"/>
      <x:c r="Y104"/>
    </x:row>
    <x:row r="105">
      <x:c r="A105" s="3"/>
      <x:c r="B105"/>
      <x:c r="C105"/>
      <x:c r="D105"/>
      <x:c r="E105"/>
      <x:c r="F105"/>
      <x:c r="G105"/>
      <x:c r="H105"/>
      <x:c r="I105"/>
      <x:c r="J105"/>
      <x:c r="K105"/>
      <x:c r="L105"/>
      <x:c r="M105"/>
      <x:c r="N105"/>
      <x:c r="O105"/>
      <x:c r="P105"/>
      <x:c r="Q105"/>
      <x:c r="R105"/>
      <x:c r="S105"/>
      <x:c r="T105"/>
      <x:c r="U105"/>
      <x:c r="V105"/>
      <x:c r="W105"/>
      <x:c r="X105"/>
      <x:c r="Y105"/>
    </x:row>
    <x:row r="106">
      <x:c r="A106" s="3"/>
      <x:c r="B106"/>
      <x:c r="C106"/>
      <x:c r="D106"/>
      <x:c r="E106"/>
      <x:c r="F106"/>
      <x:c r="G106"/>
      <x:c r="H106"/>
      <x:c r="I106"/>
      <x:c r="J106"/>
      <x:c r="K106"/>
      <x:c r="L106"/>
      <x:c r="M106"/>
      <x:c r="N106"/>
      <x:c r="O106"/>
      <x:c r="P106"/>
      <x:c r="Q106"/>
      <x:c r="R106"/>
      <x:c r="S106"/>
      <x:c r="T106"/>
      <x:c r="U106"/>
      <x:c r="V106"/>
      <x:c r="W106"/>
      <x:c r="X106"/>
      <x:c r="Y106"/>
    </x:row>
    <x:row r="107">
      <x:c r="A107" s="3"/>
      <x:c r="B107"/>
      <x:c r="C107"/>
      <x:c r="D107"/>
      <x:c r="E107"/>
      <x:c r="F107"/>
      <x:c r="G107"/>
      <x:c r="H107"/>
      <x:c r="I107"/>
      <x:c r="J107"/>
      <x:c r="K107"/>
      <x:c r="L107"/>
      <x:c r="M107"/>
      <x:c r="N107"/>
      <x:c r="O107"/>
      <x:c r="P107"/>
      <x:c r="Q107"/>
      <x:c r="R107"/>
      <x:c r="S107"/>
      <x:c r="T107"/>
      <x:c r="U107"/>
      <x:c r="V107"/>
      <x:c r="W107"/>
      <x:c r="X107"/>
      <x:c r="Y107"/>
    </x:row>
    <x:row r="108">
      <x:c r="A108" s="3"/>
      <x:c r="B108"/>
      <x:c r="C108"/>
      <x:c r="D108"/>
      <x:c r="E108"/>
      <x:c r="F108"/>
      <x:c r="G108"/>
      <x:c r="H108"/>
      <x:c r="I108"/>
      <x:c r="J108"/>
      <x:c r="K108"/>
      <x:c r="L108"/>
      <x:c r="M108"/>
      <x:c r="N108"/>
      <x:c r="O108"/>
      <x:c r="P108"/>
      <x:c r="Q108"/>
      <x:c r="R108"/>
      <x:c r="S108"/>
      <x:c r="T108"/>
      <x:c r="U108"/>
      <x:c r="V108"/>
      <x:c r="W108"/>
      <x:c r="X108"/>
      <x:c r="Y108"/>
    </x:row>
    <x:row r="109">
      <x:c r="A109" s="3"/>
      <x:c r="B109"/>
      <x:c r="C109"/>
      <x:c r="D109"/>
      <x:c r="E109"/>
      <x:c r="F109"/>
      <x:c r="G109"/>
      <x:c r="H109"/>
      <x:c r="I109"/>
      <x:c r="J109"/>
      <x:c r="K109"/>
      <x:c r="L109"/>
      <x:c r="M109"/>
      <x:c r="N109"/>
      <x:c r="O109"/>
      <x:c r="P109"/>
      <x:c r="Q109"/>
      <x:c r="R109"/>
      <x:c r="S109"/>
      <x:c r="T109"/>
      <x:c r="U109"/>
      <x:c r="V109"/>
      <x:c r="W109"/>
      <x:c r="X109"/>
      <x:c r="Y109"/>
    </x:row>
    <x:row r="110">
      <x:c r="A110" s="3"/>
      <x:c r="B110"/>
      <x:c r="C110"/>
      <x:c r="D110"/>
      <x:c r="E110"/>
      <x:c r="F110"/>
      <x:c r="G110"/>
      <x:c r="H110"/>
      <x:c r="I110"/>
      <x:c r="J110"/>
      <x:c r="K110"/>
      <x:c r="L110"/>
      <x:c r="M110"/>
      <x:c r="N110"/>
      <x:c r="O110"/>
      <x:c r="P110"/>
      <x:c r="Q110"/>
      <x:c r="R110"/>
      <x:c r="S110"/>
      <x:c r="T110"/>
      <x:c r="U110"/>
      <x:c r="V110"/>
      <x:c r="W110"/>
      <x:c r="X110"/>
      <x:c r="Y110"/>
    </x:row>
    <x:row r="111">
      <x:c r="A111" s="3"/>
      <x:c r="B111"/>
      <x:c r="C111"/>
      <x:c r="D111"/>
      <x:c r="E111"/>
      <x:c r="F111"/>
      <x:c r="G111"/>
      <x:c r="H111"/>
      <x:c r="I111"/>
      <x:c r="J111"/>
      <x:c r="K111"/>
      <x:c r="L111"/>
      <x:c r="M111"/>
      <x:c r="N111"/>
      <x:c r="O111"/>
      <x:c r="P111"/>
      <x:c r="Q111"/>
      <x:c r="R111"/>
      <x:c r="S111"/>
      <x:c r="T111"/>
      <x:c r="U111"/>
      <x:c r="V111"/>
      <x:c r="W111"/>
      <x:c r="X111"/>
      <x:c r="Y111"/>
    </x:row>
    <x:row r="112">
      <x:c r="A112" s="3"/>
      <x:c r="B112"/>
      <x:c r="C112"/>
      <x:c r="D112"/>
      <x:c r="E112"/>
      <x:c r="F112"/>
      <x:c r="G112"/>
      <x:c r="H112"/>
      <x:c r="I112"/>
      <x:c r="J112"/>
      <x:c r="K112"/>
      <x:c r="L112"/>
      <x:c r="M112"/>
      <x:c r="N112"/>
      <x:c r="O112"/>
      <x:c r="P112"/>
      <x:c r="Q112"/>
      <x:c r="R112"/>
      <x:c r="S112"/>
      <x:c r="T112"/>
      <x:c r="U112"/>
      <x:c r="V112"/>
      <x:c r="W112"/>
      <x:c r="X112"/>
      <x:c r="Y112"/>
    </x:row>
    <x:row r="113">
      <x:c r="A113" s="3"/>
      <x:c r="B113"/>
      <x:c r="C113"/>
      <x:c r="D113"/>
      <x:c r="E113"/>
      <x:c r="F113"/>
      <x:c r="G113"/>
      <x:c r="H113"/>
      <x:c r="I113"/>
      <x:c r="J113"/>
      <x:c r="K113"/>
      <x:c r="L113"/>
      <x:c r="M113"/>
      <x:c r="N113"/>
      <x:c r="O113"/>
      <x:c r="P113"/>
      <x:c r="Q113"/>
      <x:c r="R113"/>
      <x:c r="S113"/>
      <x:c r="T113"/>
      <x:c r="U113"/>
      <x:c r="V113"/>
      <x:c r="W113"/>
      <x:c r="X113"/>
      <x:c r="Y113"/>
    </x:row>
    <x:row r="114">
      <x:c r="A114" s="3"/>
      <x:c r="B114"/>
      <x:c r="C114"/>
      <x:c r="D114"/>
      <x:c r="E114"/>
      <x:c r="F114"/>
      <x:c r="G114"/>
      <x:c r="H114"/>
      <x:c r="I114"/>
      <x:c r="J114"/>
      <x:c r="K114"/>
      <x:c r="L114"/>
      <x:c r="M114"/>
      <x:c r="N114"/>
      <x:c r="O114"/>
      <x:c r="P114"/>
      <x:c r="Q114"/>
      <x:c r="R114"/>
      <x:c r="S114"/>
      <x:c r="T114"/>
      <x:c r="U114"/>
      <x:c r="V114"/>
      <x:c r="W114"/>
      <x:c r="X114"/>
      <x:c r="Y114"/>
    </x:row>
    <x:row r="115">
      <x:c r="A115" s="3"/>
      <x:c r="B115"/>
      <x:c r="C115"/>
      <x:c r="D115"/>
      <x:c r="E115"/>
      <x:c r="F115"/>
      <x:c r="G115"/>
      <x:c r="H115"/>
      <x:c r="I115"/>
      <x:c r="J115"/>
      <x:c r="K115"/>
      <x:c r="L115"/>
      <x:c r="M115"/>
      <x:c r="N115"/>
      <x:c r="O115"/>
      <x:c r="P115"/>
      <x:c r="Q115"/>
      <x:c r="R115"/>
      <x:c r="S115"/>
      <x:c r="T115"/>
      <x:c r="U115"/>
      <x:c r="V115"/>
      <x:c r="W115"/>
      <x:c r="X115"/>
      <x:c r="Y115"/>
    </x:row>
    <x:row r="116">
      <x:c r="A116" s="3"/>
      <x:c r="B116"/>
      <x:c r="C116"/>
      <x:c r="D116"/>
      <x:c r="E116"/>
      <x:c r="F116"/>
      <x:c r="G116"/>
      <x:c r="H116"/>
      <x:c r="I116"/>
      <x:c r="J116"/>
      <x:c r="K116"/>
      <x:c r="L116"/>
      <x:c r="M116"/>
      <x:c r="N116"/>
      <x:c r="O116"/>
      <x:c r="P116"/>
      <x:c r="Q116"/>
      <x:c r="R116"/>
      <x:c r="S116"/>
      <x:c r="T116"/>
      <x:c r="U116"/>
      <x:c r="V116"/>
      <x:c r="W116"/>
      <x:c r="X116"/>
      <x:c r="Y116"/>
    </x:row>
    <x:row r="117">
      <x:c r="A117" s="3"/>
      <x:c r="B117"/>
      <x:c r="C117"/>
      <x:c r="D117"/>
      <x:c r="E117"/>
      <x:c r="F117"/>
      <x:c r="G117"/>
      <x:c r="H117"/>
      <x:c r="I117"/>
      <x:c r="J117"/>
      <x:c r="K117"/>
      <x:c r="L117"/>
      <x:c r="M117"/>
      <x:c r="N117"/>
      <x:c r="O117"/>
      <x:c r="P117"/>
      <x:c r="Q117"/>
      <x:c r="R117"/>
      <x:c r="S117"/>
      <x:c r="T117"/>
      <x:c r="U117"/>
      <x:c r="V117"/>
      <x:c r="W117"/>
      <x:c r="X117"/>
      <x:c r="Y117"/>
    </x:row>
    <x:row r="118">
      <x:c r="A118" s="3"/>
      <x:c r="B118"/>
      <x:c r="C118"/>
      <x:c r="D118"/>
      <x:c r="E118"/>
      <x:c r="F118"/>
      <x:c r="G118"/>
      <x:c r="H118"/>
      <x:c r="I118"/>
      <x:c r="J118"/>
      <x:c r="K118"/>
      <x:c r="L118"/>
      <x:c r="M118"/>
      <x:c r="N118"/>
      <x:c r="O118"/>
      <x:c r="P118"/>
      <x:c r="Q118"/>
      <x:c r="R118"/>
      <x:c r="S118"/>
      <x:c r="T118"/>
      <x:c r="U118"/>
      <x:c r="V118"/>
      <x:c r="W118"/>
      <x:c r="X118"/>
      <x:c r="Y118"/>
    </x:row>
    <x:row r="119">
      <x:c r="A119" s="3"/>
      <x:c r="B119"/>
      <x:c r="C119"/>
      <x:c r="D119"/>
      <x:c r="E119"/>
      <x:c r="F119"/>
      <x:c r="G119"/>
      <x:c r="H119"/>
      <x:c r="I119"/>
      <x:c r="J119"/>
      <x:c r="K119"/>
      <x:c r="L119"/>
      <x:c r="M119"/>
      <x:c r="N119"/>
      <x:c r="O119"/>
      <x:c r="P119"/>
      <x:c r="Q119"/>
      <x:c r="R119"/>
      <x:c r="S119"/>
      <x:c r="T119"/>
      <x:c r="U119"/>
      <x:c r="V119"/>
      <x:c r="W119"/>
      <x:c r="X119"/>
      <x:c r="Y119"/>
    </x:row>
    <x:row r="120">
      <x:c r="A120" s="3"/>
      <x:c r="B120"/>
      <x:c r="C120"/>
      <x:c r="D120"/>
      <x:c r="E120"/>
      <x:c r="F120"/>
      <x:c r="G120"/>
      <x:c r="H120"/>
      <x:c r="I120"/>
      <x:c r="J120"/>
      <x:c r="K120"/>
      <x:c r="L120"/>
      <x:c r="M120"/>
      <x:c r="N120"/>
      <x:c r="O120"/>
      <x:c r="P120"/>
      <x:c r="Q120"/>
      <x:c r="R120"/>
      <x:c r="S120"/>
      <x:c r="T120"/>
      <x:c r="U120"/>
      <x:c r="V120"/>
      <x:c r="W120"/>
      <x:c r="X120"/>
      <x:c r="Y120"/>
    </x:row>
    <x:row r="121">
      <x:c r="A121" s="3"/>
      <x:c r="B121"/>
      <x:c r="C121"/>
      <x:c r="D121"/>
      <x:c r="E121"/>
      <x:c r="F121"/>
      <x:c r="G121"/>
      <x:c r="H121"/>
      <x:c r="I121"/>
      <x:c r="J121"/>
      <x:c r="K121"/>
      <x:c r="L121"/>
      <x:c r="M121"/>
      <x:c r="N121"/>
      <x:c r="O121"/>
      <x:c r="P121"/>
      <x:c r="Q121"/>
      <x:c r="R121"/>
      <x:c r="S121"/>
      <x:c r="T121"/>
      <x:c r="U121"/>
      <x:c r="V121"/>
      <x:c r="W121"/>
      <x:c r="X121"/>
      <x:c r="Y121"/>
    </x:row>
    <x:row r="122">
      <x:c r="A122" s="3"/>
      <x:c r="B122"/>
      <x:c r="C122"/>
      <x:c r="D122"/>
      <x:c r="E122"/>
      <x:c r="F122"/>
      <x:c r="G122"/>
      <x:c r="H122"/>
      <x:c r="I122"/>
      <x:c r="J122"/>
      <x:c r="K122"/>
      <x:c r="L122"/>
      <x:c r="M122"/>
      <x:c r="N122"/>
      <x:c r="O122"/>
      <x:c r="P122"/>
      <x:c r="Q122"/>
      <x:c r="R122"/>
      <x:c r="S122"/>
      <x:c r="T122"/>
      <x:c r="U122"/>
      <x:c r="V122"/>
      <x:c r="W122"/>
      <x:c r="X122"/>
      <x:c r="Y122"/>
    </x:row>
    <x:row r="123">
      <x:c r="A123" s="3"/>
      <x:c r="B123"/>
      <x:c r="C123"/>
      <x:c r="D123"/>
      <x:c r="E123"/>
      <x:c r="F123"/>
      <x:c r="G123"/>
      <x:c r="H123"/>
      <x:c r="I123"/>
      <x:c r="J123"/>
      <x:c r="K123"/>
      <x:c r="L123"/>
      <x:c r="M123"/>
      <x:c r="N123"/>
      <x:c r="O123"/>
      <x:c r="P123"/>
      <x:c r="Q123"/>
      <x:c r="R123"/>
      <x:c r="S123"/>
      <x:c r="T123"/>
      <x:c r="U123"/>
      <x:c r="V123"/>
      <x:c r="W123"/>
      <x:c r="X123"/>
      <x:c r="Y123"/>
    </x:row>
    <x:row r="124">
      <x:c r="A124" s="3"/>
      <x:c r="B124"/>
      <x:c r="C124"/>
      <x:c r="D124"/>
      <x:c r="E124"/>
      <x:c r="F124"/>
      <x:c r="G124"/>
      <x:c r="H124"/>
      <x:c r="I124"/>
      <x:c r="J124"/>
      <x:c r="K124"/>
      <x:c r="L124"/>
      <x:c r="M124"/>
      <x:c r="N124"/>
      <x:c r="O124"/>
      <x:c r="P124"/>
      <x:c r="Q124"/>
      <x:c r="R124"/>
      <x:c r="S124"/>
      <x:c r="T124"/>
      <x:c r="U124"/>
      <x:c r="V124"/>
      <x:c r="W124"/>
      <x:c r="X124"/>
      <x:c r="Y124"/>
    </x:row>
    <x:row r="125">
      <x:c r="A125" s="3"/>
      <x:c r="B125"/>
      <x:c r="C125"/>
      <x:c r="D125"/>
      <x:c r="E125"/>
      <x:c r="F125"/>
      <x:c r="G125"/>
      <x:c r="H125"/>
      <x:c r="I125"/>
      <x:c r="J125"/>
      <x:c r="K125"/>
      <x:c r="L125"/>
      <x:c r="M125"/>
      <x:c r="N125"/>
      <x:c r="O125"/>
      <x:c r="P125"/>
      <x:c r="Q125"/>
      <x:c r="R125"/>
      <x:c r="S125"/>
      <x:c r="T125"/>
      <x:c r="U125"/>
      <x:c r="V125"/>
      <x:c r="W125"/>
      <x:c r="X125"/>
      <x:c r="Y125"/>
    </x:row>
    <x:row r="126">
      <x:c r="A126" s="3"/>
      <x:c r="B126"/>
      <x:c r="C126"/>
      <x:c r="D126"/>
      <x:c r="E126"/>
      <x:c r="F126"/>
      <x:c r="G126"/>
      <x:c r="H126"/>
      <x:c r="I126"/>
      <x:c r="J126"/>
      <x:c r="K126"/>
      <x:c r="L126"/>
      <x:c r="M126"/>
      <x:c r="N126"/>
      <x:c r="O126"/>
      <x:c r="P126"/>
      <x:c r="Q126"/>
      <x:c r="R126"/>
      <x:c r="S126"/>
      <x:c r="T126"/>
      <x:c r="U126"/>
      <x:c r="V126"/>
      <x:c r="W126"/>
      <x:c r="X126"/>
      <x:c r="Y126"/>
    </x:row>
    <x:row r="127">
      <x:c r="A127" s="3"/>
      <x:c r="B127"/>
      <x:c r="C127"/>
      <x:c r="D127"/>
      <x:c r="E127"/>
      <x:c r="F127"/>
      <x:c r="G127"/>
      <x:c r="H127"/>
      <x:c r="I127"/>
      <x:c r="J127"/>
      <x:c r="K127"/>
      <x:c r="L127"/>
      <x:c r="M127"/>
      <x:c r="N127"/>
      <x:c r="O127"/>
      <x:c r="P127"/>
      <x:c r="Q127"/>
      <x:c r="R127"/>
      <x:c r="S127"/>
      <x:c r="T127"/>
      <x:c r="U127"/>
      <x:c r="V127"/>
      <x:c r="W127"/>
      <x:c r="X127"/>
      <x:c r="Y127"/>
    </x:row>
    <x:row r="128">
      <x:c r="A128" s="3"/>
      <x:c r="B128"/>
      <x:c r="C128"/>
      <x:c r="D128"/>
      <x:c r="E128"/>
      <x:c r="F128"/>
      <x:c r="G128"/>
      <x:c r="H128"/>
      <x:c r="I128"/>
      <x:c r="J128"/>
      <x:c r="K128"/>
      <x:c r="L128"/>
      <x:c r="M128"/>
      <x:c r="N128"/>
      <x:c r="O128"/>
      <x:c r="P128"/>
      <x:c r="Q128"/>
      <x:c r="R128"/>
      <x:c r="S128"/>
      <x:c r="T128"/>
      <x:c r="U128"/>
      <x:c r="V128"/>
      <x:c r="W128"/>
      <x:c r="X128"/>
      <x:c r="Y128"/>
    </x:row>
    <x:row r="129">
      <x:c r="A129" s="3"/>
      <x:c r="B129"/>
      <x:c r="C129"/>
      <x:c r="D129"/>
      <x:c r="E129"/>
      <x:c r="F129"/>
      <x:c r="G129"/>
      <x:c r="H129"/>
      <x:c r="I129"/>
      <x:c r="J129"/>
      <x:c r="K129"/>
      <x:c r="L129"/>
      <x:c r="M129"/>
      <x:c r="N129"/>
      <x:c r="O129"/>
      <x:c r="P129"/>
      <x:c r="Q129"/>
      <x:c r="R129"/>
      <x:c r="S129"/>
      <x:c r="T129"/>
      <x:c r="U129"/>
      <x:c r="V129"/>
      <x:c r="W129"/>
      <x:c r="X129"/>
      <x:c r="Y129"/>
    </x:row>
    <x:row r="130">
      <x:c r="A130" s="3"/>
      <x:c r="B130"/>
      <x:c r="C130"/>
      <x:c r="D130"/>
      <x:c r="E130"/>
      <x:c r="F130"/>
      <x:c r="G130"/>
      <x:c r="H130"/>
      <x:c r="I130"/>
      <x:c r="J130"/>
      <x:c r="K130"/>
      <x:c r="L130"/>
      <x:c r="M130"/>
      <x:c r="N130"/>
      <x:c r="O130"/>
      <x:c r="P130"/>
      <x:c r="Q130"/>
      <x:c r="R130"/>
      <x:c r="S130"/>
      <x:c r="T130"/>
      <x:c r="U130"/>
      <x:c r="V130"/>
      <x:c r="W130"/>
      <x:c r="X130"/>
      <x:c r="Y130"/>
    </x:row>
    <x:row r="131">
      <x:c r="A131" s="3"/>
      <x:c r="B131"/>
      <x:c r="C131"/>
      <x:c r="D131"/>
      <x:c r="E131"/>
      <x:c r="F131"/>
      <x:c r="G131"/>
      <x:c r="H131"/>
      <x:c r="I131"/>
      <x:c r="J131"/>
      <x:c r="K131"/>
      <x:c r="L131"/>
      <x:c r="M131"/>
      <x:c r="N131"/>
      <x:c r="O131"/>
      <x:c r="P131"/>
      <x:c r="Q131"/>
      <x:c r="R131"/>
      <x:c r="S131"/>
      <x:c r="T131"/>
      <x:c r="U131"/>
      <x:c r="V131"/>
      <x:c r="W131"/>
      <x:c r="X131"/>
      <x:c r="Y131"/>
    </x:row>
    <x:row r="132">
      <x:c r="A132" s="3"/>
      <x:c r="B132"/>
      <x:c r="C132"/>
      <x:c r="D132"/>
      <x:c r="E132"/>
      <x:c r="F132"/>
      <x:c r="G132"/>
      <x:c r="H132"/>
      <x:c r="I132"/>
      <x:c r="J132"/>
      <x:c r="K132"/>
      <x:c r="L132"/>
      <x:c r="M132"/>
      <x:c r="N132"/>
      <x:c r="O132"/>
      <x:c r="P132"/>
      <x:c r="Q132"/>
      <x:c r="R132"/>
      <x:c r="S132"/>
      <x:c r="T132"/>
      <x:c r="U132"/>
      <x:c r="V132"/>
      <x:c r="W132"/>
      <x:c r="X132"/>
      <x:c r="Y132"/>
    </x:row>
    <x:row r="133">
      <x:c r="A133" s="3"/>
      <x:c r="B133"/>
      <x:c r="C133"/>
      <x:c r="D133"/>
      <x:c r="E133"/>
      <x:c r="F133"/>
      <x:c r="G133"/>
      <x:c r="H133"/>
      <x:c r="I133"/>
      <x:c r="J133"/>
      <x:c r="K133"/>
      <x:c r="L133"/>
      <x:c r="M133"/>
      <x:c r="N133"/>
      <x:c r="O133"/>
      <x:c r="P133"/>
      <x:c r="Q133"/>
      <x:c r="R133"/>
      <x:c r="S133"/>
      <x:c r="T133"/>
      <x:c r="U133"/>
      <x:c r="V133"/>
      <x:c r="W133"/>
      <x:c r="X133"/>
      <x:c r="Y133"/>
    </x:row>
    <x:row r="134">
      <x:c r="A134" s="3"/>
      <x:c r="B134"/>
      <x:c r="C134"/>
      <x:c r="D134"/>
      <x:c r="E134"/>
      <x:c r="F134"/>
      <x:c r="G134"/>
      <x:c r="H134"/>
      <x:c r="I134"/>
      <x:c r="J134"/>
      <x:c r="K134"/>
      <x:c r="L134"/>
      <x:c r="M134"/>
      <x:c r="N134"/>
      <x:c r="O134"/>
      <x:c r="P134"/>
      <x:c r="Q134"/>
      <x:c r="R134"/>
      <x:c r="S134"/>
      <x:c r="T134"/>
      <x:c r="U134"/>
      <x:c r="V134"/>
      <x:c r="W134"/>
      <x:c r="X134"/>
      <x:c r="Y134"/>
    </x:row>
    <x:row r="135">
      <x:c r="A135" s="3"/>
      <x:c r="B135"/>
      <x:c r="C135"/>
      <x:c r="D135"/>
      <x:c r="E135"/>
      <x:c r="F135"/>
      <x:c r="G135"/>
      <x:c r="H135"/>
      <x:c r="I135"/>
      <x:c r="J135"/>
      <x:c r="K135"/>
      <x:c r="L135"/>
      <x:c r="M135"/>
      <x:c r="N135"/>
      <x:c r="O135"/>
      <x:c r="P135"/>
      <x:c r="Q135"/>
      <x:c r="R135"/>
      <x:c r="S135"/>
      <x:c r="T135"/>
      <x:c r="U135"/>
      <x:c r="V135"/>
      <x:c r="W135"/>
      <x:c r="X135"/>
      <x:c r="Y135"/>
    </x:row>
    <x:row r="136">
      <x:c r="A136" s="3"/>
      <x:c r="B136"/>
      <x:c r="C136"/>
      <x:c r="D136"/>
      <x:c r="E136"/>
      <x:c r="F136"/>
      <x:c r="G136"/>
      <x:c r="H136"/>
      <x:c r="I136"/>
      <x:c r="J136"/>
      <x:c r="K136"/>
      <x:c r="L136"/>
      <x:c r="M136"/>
      <x:c r="N136"/>
      <x:c r="O136"/>
      <x:c r="P136"/>
      <x:c r="Q136"/>
      <x:c r="R136"/>
      <x:c r="S136"/>
      <x:c r="T136"/>
      <x:c r="U136"/>
      <x:c r="V136"/>
      <x:c r="W136"/>
      <x:c r="X136"/>
      <x:c r="Y136"/>
    </x:row>
    <x:row r="137">
      <x:c r="A137" s="3"/>
      <x:c r="B137"/>
      <x:c r="C137"/>
      <x:c r="D137"/>
      <x:c r="E137"/>
      <x:c r="F137"/>
      <x:c r="G137"/>
      <x:c r="H137"/>
      <x:c r="I137"/>
      <x:c r="J137"/>
      <x:c r="K137"/>
      <x:c r="L137"/>
      <x:c r="M137"/>
      <x:c r="N137"/>
      <x:c r="O137"/>
      <x:c r="P137"/>
      <x:c r="Q137"/>
      <x:c r="R137"/>
      <x:c r="S137"/>
      <x:c r="T137"/>
      <x:c r="U137"/>
      <x:c r="V137"/>
      <x:c r="W137"/>
      <x:c r="X137"/>
      <x:c r="Y137"/>
    </x:row>
    <x:row r="138">
      <x:c r="A138" s="3"/>
      <x:c r="B138"/>
      <x:c r="C138"/>
      <x:c r="D138"/>
      <x:c r="E138"/>
      <x:c r="F138"/>
      <x:c r="G138"/>
      <x:c r="H138"/>
      <x:c r="I138"/>
      <x:c r="J138"/>
      <x:c r="K138"/>
      <x:c r="L138"/>
      <x:c r="M138"/>
      <x:c r="N138"/>
      <x:c r="O138"/>
      <x:c r="P138"/>
      <x:c r="Q138"/>
      <x:c r="R138"/>
      <x:c r="S138"/>
      <x:c r="T138"/>
      <x:c r="U138"/>
      <x:c r="V138"/>
      <x:c r="W138"/>
      <x:c r="X138"/>
      <x:c r="Y138"/>
    </x:row>
    <x:row r="139">
      <x:c r="A139" s="3"/>
      <x:c r="B139"/>
      <x:c r="C139"/>
      <x:c r="D139"/>
      <x:c r="E139"/>
      <x:c r="F139"/>
      <x:c r="G139"/>
      <x:c r="H139"/>
      <x:c r="I139"/>
      <x:c r="J139"/>
      <x:c r="K139"/>
      <x:c r="L139"/>
      <x:c r="M139"/>
      <x:c r="N139"/>
      <x:c r="O139"/>
      <x:c r="P139"/>
      <x:c r="Q139"/>
      <x:c r="R139"/>
      <x:c r="S139"/>
      <x:c r="T139"/>
      <x:c r="U139"/>
      <x:c r="V139"/>
      <x:c r="W139"/>
      <x:c r="X139"/>
      <x:c r="Y139"/>
    </x:row>
    <x:row r="140">
      <x:c r="A140" s="3"/>
      <x:c r="B140"/>
      <x:c r="C140"/>
      <x:c r="D140"/>
      <x:c r="E140"/>
      <x:c r="F140"/>
      <x:c r="G140"/>
      <x:c r="H140"/>
      <x:c r="I140"/>
      <x:c r="J140"/>
      <x:c r="K140"/>
      <x:c r="L140"/>
      <x:c r="M140"/>
      <x:c r="N140"/>
      <x:c r="O140"/>
      <x:c r="P140"/>
      <x:c r="Q140"/>
      <x:c r="R140"/>
      <x:c r="S140"/>
      <x:c r="T140"/>
      <x:c r="U140"/>
      <x:c r="V140"/>
      <x:c r="W140"/>
      <x:c r="X140"/>
      <x:c r="Y140"/>
    </x:row>
    <x:row r="141">
      <x:c r="A141" s="3"/>
      <x:c r="B141"/>
      <x:c r="C141"/>
      <x:c r="D141"/>
      <x:c r="E141"/>
      <x:c r="F141"/>
      <x:c r="G141"/>
      <x:c r="H141"/>
      <x:c r="I141"/>
      <x:c r="J141"/>
      <x:c r="K141"/>
      <x:c r="L141"/>
      <x:c r="M141"/>
      <x:c r="N141"/>
      <x:c r="O141"/>
      <x:c r="P141"/>
      <x:c r="Q141"/>
      <x:c r="R141"/>
      <x:c r="S141"/>
      <x:c r="T141"/>
      <x:c r="U141"/>
      <x:c r="V141"/>
      <x:c r="W141"/>
      <x:c r="X141"/>
      <x:c r="Y141"/>
    </x:row>
    <x:row r="142">
      <x:c r="A142" s="3"/>
      <x:c r="B142"/>
      <x:c r="C142"/>
      <x:c r="D142"/>
      <x:c r="E142"/>
      <x:c r="F142"/>
      <x:c r="G142"/>
      <x:c r="H142"/>
      <x:c r="I142"/>
      <x:c r="J142"/>
      <x:c r="K142"/>
      <x:c r="L142"/>
      <x:c r="M142"/>
      <x:c r="N142"/>
      <x:c r="O142"/>
      <x:c r="P142"/>
      <x:c r="Q142"/>
      <x:c r="R142"/>
      <x:c r="S142"/>
      <x:c r="T142"/>
      <x:c r="U142"/>
      <x:c r="V142"/>
      <x:c r="W142"/>
      <x:c r="X142"/>
      <x:c r="Y142"/>
    </x:row>
    <x:row r="143">
      <x:c r="A143" s="3"/>
      <x:c r="B143"/>
      <x:c r="C143"/>
      <x:c r="D143"/>
      <x:c r="E143"/>
      <x:c r="F143"/>
      <x:c r="G143"/>
      <x:c r="H143"/>
      <x:c r="I143"/>
      <x:c r="J143"/>
      <x:c r="K143"/>
      <x:c r="L143"/>
      <x:c r="M143"/>
      <x:c r="N143"/>
      <x:c r="O143"/>
      <x:c r="P143"/>
      <x:c r="Q143"/>
      <x:c r="R143"/>
      <x:c r="S143"/>
      <x:c r="T143"/>
      <x:c r="U143"/>
      <x:c r="V143"/>
      <x:c r="W143"/>
      <x:c r="X143"/>
      <x:c r="Y143"/>
    </x:row>
    <x:row r="144">
      <x:c r="A144" s="3"/>
      <x:c r="B144"/>
      <x:c r="C144"/>
      <x:c r="D144"/>
      <x:c r="E144"/>
      <x:c r="F144"/>
      <x:c r="G144"/>
      <x:c r="H144"/>
      <x:c r="I144"/>
      <x:c r="J144"/>
      <x:c r="K144"/>
      <x:c r="L144"/>
      <x:c r="M144"/>
      <x:c r="N144"/>
      <x:c r="O144"/>
      <x:c r="P144"/>
      <x:c r="Q144"/>
      <x:c r="R144"/>
      <x:c r="S144"/>
      <x:c r="T144"/>
      <x:c r="U144"/>
      <x:c r="V144"/>
      <x:c r="W144"/>
      <x:c r="X144"/>
      <x:c r="Y144"/>
    </x:row>
    <x:row r="145">
      <x:c r="A145" s="3"/>
      <x:c r="B145"/>
      <x:c r="C145"/>
      <x:c r="D145"/>
      <x:c r="E145"/>
      <x:c r="F145"/>
      <x:c r="G145"/>
      <x:c r="H145"/>
      <x:c r="I145"/>
      <x:c r="J145"/>
      <x:c r="K145"/>
      <x:c r="L145"/>
      <x:c r="M145"/>
      <x:c r="N145"/>
      <x:c r="O145"/>
      <x:c r="P145"/>
      <x:c r="Q145"/>
      <x:c r="R145"/>
      <x:c r="S145"/>
      <x:c r="T145"/>
      <x:c r="U145"/>
      <x:c r="V145"/>
      <x:c r="W145"/>
      <x:c r="X145"/>
      <x:c r="Y145"/>
    </x:row>
    <x:row r="146">
      <x:c r="A146" s="3"/>
      <x:c r="B146"/>
      <x:c r="C146"/>
      <x:c r="D146"/>
      <x:c r="E146"/>
      <x:c r="F146"/>
      <x:c r="G146"/>
      <x:c r="H146"/>
      <x:c r="I146"/>
      <x:c r="J146"/>
      <x:c r="K146"/>
      <x:c r="L146"/>
      <x:c r="M146"/>
      <x:c r="N146"/>
      <x:c r="O146"/>
      <x:c r="P146"/>
      <x:c r="Q146"/>
      <x:c r="R146"/>
      <x:c r="S146"/>
      <x:c r="T146"/>
      <x:c r="U146"/>
      <x:c r="V146"/>
      <x:c r="W146"/>
      <x:c r="X146"/>
      <x:c r="Y146"/>
    </x:row>
    <x:row r="147">
      <x:c r="A147" s="3"/>
      <x:c r="B147"/>
      <x:c r="C147"/>
      <x:c r="D147"/>
      <x:c r="E147"/>
      <x:c r="F147"/>
      <x:c r="G147"/>
      <x:c r="H147"/>
      <x:c r="I147"/>
      <x:c r="J147"/>
      <x:c r="K147"/>
      <x:c r="L147"/>
      <x:c r="M147"/>
      <x:c r="N147"/>
      <x:c r="O147"/>
      <x:c r="P147"/>
      <x:c r="Q147"/>
      <x:c r="R147"/>
      <x:c r="S147"/>
      <x:c r="T147"/>
      <x:c r="U147"/>
      <x:c r="V147"/>
      <x:c r="W147"/>
      <x:c r="X147"/>
      <x:c r="Y147"/>
    </x:row>
    <x:row r="148">
      <x:c r="A148" s="3"/>
      <x:c r="B148"/>
      <x:c r="C148"/>
      <x:c r="D148"/>
      <x:c r="E148"/>
      <x:c r="F148"/>
      <x:c r="G148"/>
      <x:c r="H148"/>
      <x:c r="I148"/>
      <x:c r="J148"/>
      <x:c r="K148"/>
      <x:c r="L148"/>
      <x:c r="M148"/>
      <x:c r="N148"/>
      <x:c r="O148"/>
      <x:c r="P148"/>
      <x:c r="Q148"/>
      <x:c r="R148"/>
      <x:c r="S148"/>
      <x:c r="T148"/>
      <x:c r="U148"/>
      <x:c r="V148"/>
      <x:c r="W148"/>
      <x:c r="X148"/>
      <x:c r="Y148"/>
    </x:row>
    <x:row r="149">
      <x:c r="A149" s="3"/>
      <x:c r="B149"/>
      <x:c r="C149"/>
      <x:c r="D149"/>
      <x:c r="E149"/>
      <x:c r="F149"/>
      <x:c r="G149"/>
      <x:c r="H149"/>
      <x:c r="I149"/>
      <x:c r="J149"/>
      <x:c r="K149"/>
      <x:c r="L149"/>
      <x:c r="M149"/>
      <x:c r="N149"/>
      <x:c r="O149"/>
      <x:c r="P149"/>
      <x:c r="Q149"/>
      <x:c r="R149"/>
      <x:c r="S149"/>
      <x:c r="T149"/>
      <x:c r="U149"/>
      <x:c r="V149"/>
      <x:c r="W149"/>
      <x:c r="X149"/>
      <x:c r="Y149"/>
    </x:row>
    <x:row r="150">
      <x:c r="A150" s="3"/>
      <x:c r="B150"/>
      <x:c r="C150"/>
      <x:c r="D150"/>
      <x:c r="E150"/>
      <x:c r="F150"/>
      <x:c r="G150"/>
      <x:c r="H150"/>
      <x:c r="I150"/>
      <x:c r="J150"/>
      <x:c r="K150"/>
      <x:c r="L150"/>
      <x:c r="M150"/>
      <x:c r="N150"/>
      <x:c r="O150"/>
      <x:c r="P150"/>
      <x:c r="Q150"/>
      <x:c r="R150"/>
      <x:c r="S150"/>
      <x:c r="T150"/>
      <x:c r="U150"/>
      <x:c r="V150"/>
      <x:c r="W150"/>
      <x:c r="X150"/>
      <x:c r="Y150"/>
    </x:row>
    <x:row r="151">
      <x:c r="A151" s="3"/>
      <x:c r="B151"/>
      <x:c r="C151"/>
      <x:c r="D151"/>
      <x:c r="E151"/>
      <x:c r="F151"/>
      <x:c r="G151"/>
      <x:c r="H151"/>
      <x:c r="I151"/>
      <x:c r="J151"/>
      <x:c r="K151"/>
      <x:c r="L151"/>
      <x:c r="M151"/>
      <x:c r="N151"/>
      <x:c r="O151"/>
      <x:c r="P151"/>
      <x:c r="Q151"/>
      <x:c r="R151"/>
      <x:c r="S151"/>
      <x:c r="T151"/>
      <x:c r="U151"/>
      <x:c r="V151"/>
      <x:c r="W151"/>
      <x:c r="X151"/>
      <x:c r="Y151"/>
    </x:row>
    <x:row r="152">
      <x:c r="A152" s="3"/>
      <x:c r="B152"/>
      <x:c r="C152"/>
      <x:c r="D152"/>
      <x:c r="E152"/>
      <x:c r="F152"/>
      <x:c r="G152"/>
      <x:c r="H152"/>
      <x:c r="I152"/>
      <x:c r="J152"/>
      <x:c r="K152"/>
      <x:c r="L152"/>
      <x:c r="M152"/>
      <x:c r="N152"/>
      <x:c r="O152"/>
      <x:c r="P152"/>
      <x:c r="Q152"/>
      <x:c r="R152"/>
      <x:c r="S152"/>
      <x:c r="T152"/>
      <x:c r="U152"/>
      <x:c r="V152"/>
      <x:c r="W152"/>
      <x:c r="X152"/>
      <x:c r="Y152"/>
    </x:row>
    <x:row r="153">
      <x:c r="A153" s="3"/>
      <x:c r="B153"/>
      <x:c r="C153"/>
      <x:c r="D153"/>
      <x:c r="E153"/>
      <x:c r="F153"/>
      <x:c r="G153"/>
      <x:c r="H153"/>
      <x:c r="I153"/>
      <x:c r="J153"/>
      <x:c r="K153"/>
      <x:c r="L153"/>
      <x:c r="M153"/>
      <x:c r="N153"/>
      <x:c r="O153"/>
      <x:c r="P153"/>
      <x:c r="Q153"/>
      <x:c r="R153"/>
      <x:c r="S153"/>
      <x:c r="T153"/>
      <x:c r="U153"/>
      <x:c r="V153"/>
      <x:c r="W153"/>
      <x:c r="X153"/>
      <x:c r="Y153"/>
    </x:row>
    <x:row r="154">
      <x:c r="A154" s="3"/>
      <x:c r="B154"/>
      <x:c r="C154"/>
      <x:c r="D154"/>
      <x:c r="E154"/>
      <x:c r="F154"/>
      <x:c r="G154"/>
      <x:c r="H154"/>
      <x:c r="I154"/>
      <x:c r="J154"/>
      <x:c r="K154"/>
      <x:c r="L154"/>
      <x:c r="M154"/>
      <x:c r="N154"/>
      <x:c r="O154"/>
      <x:c r="P154"/>
      <x:c r="Q154"/>
      <x:c r="R154"/>
      <x:c r="S154"/>
      <x:c r="T154"/>
      <x:c r="U154"/>
      <x:c r="V154"/>
      <x:c r="W154"/>
      <x:c r="X154"/>
      <x:c r="Y154"/>
    </x:row>
    <x:row r="155">
      <x:c r="A155" s="3"/>
      <x:c r="B155"/>
      <x:c r="C155"/>
      <x:c r="D155"/>
      <x:c r="E155"/>
      <x:c r="F155"/>
      <x:c r="G155"/>
      <x:c r="H155"/>
      <x:c r="I155"/>
      <x:c r="J155"/>
      <x:c r="K155"/>
      <x:c r="L155"/>
      <x:c r="M155"/>
      <x:c r="N155"/>
      <x:c r="O155"/>
      <x:c r="P155"/>
      <x:c r="Q155"/>
      <x:c r="R155"/>
      <x:c r="S155"/>
      <x:c r="T155"/>
      <x:c r="U155"/>
      <x:c r="V155"/>
      <x:c r="W155"/>
      <x:c r="X155"/>
      <x:c r="Y155"/>
    </x:row>
    <x:row r="156">
      <x:c r="A156" s="3"/>
      <x:c r="B156"/>
      <x:c r="C156"/>
      <x:c r="D156"/>
      <x:c r="E156"/>
      <x:c r="F156"/>
      <x:c r="G156"/>
      <x:c r="H156"/>
      <x:c r="I156"/>
      <x:c r="J156"/>
      <x:c r="K156"/>
      <x:c r="L156"/>
      <x:c r="M156"/>
      <x:c r="N156"/>
      <x:c r="O156"/>
      <x:c r="P156"/>
      <x:c r="Q156"/>
      <x:c r="R156"/>
      <x:c r="S156"/>
      <x:c r="T156"/>
      <x:c r="U156"/>
      <x:c r="V156"/>
      <x:c r="W156"/>
      <x:c r="X156"/>
      <x:c r="Y156"/>
    </x:row>
    <x:row r="157">
      <x:c r="A157" s="3"/>
      <x:c r="B157"/>
      <x:c r="C157"/>
      <x:c r="D157"/>
      <x:c r="E157"/>
      <x:c r="F157"/>
      <x:c r="G157"/>
      <x:c r="H157"/>
      <x:c r="I157"/>
      <x:c r="J157"/>
      <x:c r="K157"/>
      <x:c r="L157"/>
      <x:c r="M157"/>
      <x:c r="N157"/>
      <x:c r="O157"/>
      <x:c r="P157"/>
      <x:c r="Q157"/>
      <x:c r="R157"/>
      <x:c r="S157"/>
      <x:c r="T157"/>
      <x:c r="U157"/>
      <x:c r="V157"/>
      <x:c r="W157"/>
      <x:c r="X157"/>
      <x:c r="Y157"/>
    </x:row>
    <x:row r="158">
      <x:c r="A158" s="3"/>
      <x:c r="B158"/>
      <x:c r="C158"/>
      <x:c r="D158"/>
      <x:c r="E158"/>
      <x:c r="F158"/>
      <x:c r="G158"/>
      <x:c r="H158"/>
      <x:c r="I158"/>
      <x:c r="J158"/>
      <x:c r="K158"/>
      <x:c r="L158"/>
      <x:c r="M158"/>
      <x:c r="N158"/>
      <x:c r="O158"/>
      <x:c r="P158"/>
      <x:c r="Q158"/>
      <x:c r="R158"/>
      <x:c r="S158"/>
      <x:c r="T158"/>
      <x:c r="U158"/>
      <x:c r="V158"/>
      <x:c r="W158"/>
      <x:c r="X158"/>
      <x:c r="Y158"/>
    </x:row>
    <x:row r="159">
      <x:c r="A159" s="3"/>
      <x:c r="B159"/>
      <x:c r="C159"/>
      <x:c r="D159"/>
      <x:c r="E159"/>
      <x:c r="F159"/>
      <x:c r="G159"/>
      <x:c r="H159"/>
      <x:c r="I159"/>
      <x:c r="J159"/>
      <x:c r="K159"/>
      <x:c r="L159"/>
      <x:c r="M159"/>
      <x:c r="N159"/>
      <x:c r="O159"/>
      <x:c r="P159"/>
      <x:c r="Q159"/>
      <x:c r="R159"/>
      <x:c r="S159"/>
      <x:c r="T159"/>
      <x:c r="U159"/>
      <x:c r="V159"/>
      <x:c r="W159"/>
      <x:c r="X159"/>
      <x:c r="Y159"/>
    </x:row>
    <x:row r="160">
      <x:c r="A160" s="3"/>
      <x:c r="B160"/>
      <x:c r="C160"/>
      <x:c r="D160"/>
      <x:c r="E160"/>
      <x:c r="F160"/>
      <x:c r="G160"/>
      <x:c r="H160"/>
      <x:c r="I160"/>
      <x:c r="J160"/>
      <x:c r="K160"/>
      <x:c r="L160"/>
      <x:c r="M160"/>
      <x:c r="N160"/>
      <x:c r="O160"/>
      <x:c r="P160"/>
      <x:c r="Q160"/>
      <x:c r="R160"/>
      <x:c r="S160"/>
      <x:c r="T160"/>
      <x:c r="U160"/>
      <x:c r="V160"/>
      <x:c r="W160"/>
      <x:c r="X160"/>
      <x:c r="Y160"/>
    </x:row>
    <x:row r="161">
      <x:c r="A161" s="3"/>
      <x:c r="B161"/>
      <x:c r="C161"/>
      <x:c r="D161"/>
      <x:c r="E161"/>
      <x:c r="F161"/>
      <x:c r="G161"/>
      <x:c r="H161"/>
      <x:c r="I161"/>
      <x:c r="J161"/>
      <x:c r="K161"/>
      <x:c r="L161"/>
      <x:c r="M161"/>
      <x:c r="N161"/>
      <x:c r="O161"/>
      <x:c r="P161"/>
      <x:c r="Q161"/>
      <x:c r="R161"/>
      <x:c r="S161"/>
      <x:c r="T161"/>
      <x:c r="U161"/>
      <x:c r="V161"/>
      <x:c r="W161"/>
      <x:c r="X161"/>
      <x:c r="Y161"/>
    </x:row>
    <x:row r="162">
      <x:c r="A162" s="3"/>
      <x:c r="B162"/>
      <x:c r="C162"/>
      <x:c r="D162"/>
      <x:c r="E162"/>
      <x:c r="F162"/>
      <x:c r="G162"/>
      <x:c r="H162"/>
      <x:c r="I162"/>
      <x:c r="J162"/>
      <x:c r="K162"/>
      <x:c r="L162"/>
      <x:c r="M162"/>
      <x:c r="N162"/>
      <x:c r="O162"/>
      <x:c r="P162"/>
      <x:c r="Q162"/>
      <x:c r="R162"/>
      <x:c r="S162"/>
      <x:c r="T162"/>
      <x:c r="U162"/>
      <x:c r="V162"/>
      <x:c r="W162"/>
      <x:c r="X162"/>
      <x:c r="Y162"/>
    </x:row>
    <x:row r="163">
      <x:c r="A163" s="3"/>
      <x:c r="B163"/>
      <x:c r="C163"/>
      <x:c r="D163"/>
      <x:c r="E163"/>
      <x:c r="F163"/>
      <x:c r="G163"/>
      <x:c r="H163"/>
      <x:c r="I163"/>
      <x:c r="J163"/>
      <x:c r="K163"/>
      <x:c r="L163"/>
      <x:c r="M163"/>
      <x:c r="N163"/>
      <x:c r="O163"/>
      <x:c r="P163"/>
      <x:c r="Q163"/>
      <x:c r="R163"/>
      <x:c r="S163"/>
      <x:c r="T163"/>
      <x:c r="U163"/>
      <x:c r="V163"/>
      <x:c r="W163"/>
      <x:c r="X163"/>
      <x:c r="Y163"/>
    </x:row>
    <x:row r="164">
      <x:c r="A164" s="3"/>
      <x:c r="B164"/>
      <x:c r="C164"/>
      <x:c r="D164"/>
      <x:c r="E164"/>
      <x:c r="F164"/>
      <x:c r="G164"/>
      <x:c r="H164"/>
      <x:c r="I164"/>
      <x:c r="J164"/>
      <x:c r="K164"/>
      <x:c r="L164"/>
      <x:c r="M164"/>
      <x:c r="N164"/>
      <x:c r="O164"/>
      <x:c r="P164"/>
      <x:c r="Q164"/>
      <x:c r="R164"/>
      <x:c r="S164"/>
      <x:c r="T164"/>
      <x:c r="U164"/>
      <x:c r="V164"/>
      <x:c r="W164"/>
      <x:c r="X164"/>
      <x:c r="Y164"/>
    </x:row>
    <x:row r="165">
      <x:c r="A165" s="3"/>
      <x:c r="B165"/>
      <x:c r="C165"/>
      <x:c r="D165"/>
      <x:c r="E165"/>
      <x:c r="F165"/>
      <x:c r="G165"/>
      <x:c r="H165"/>
      <x:c r="I165"/>
      <x:c r="J165"/>
      <x:c r="K165"/>
      <x:c r="L165"/>
      <x:c r="M165"/>
      <x:c r="N165"/>
      <x:c r="O165"/>
      <x:c r="P165"/>
      <x:c r="Q165"/>
      <x:c r="R165"/>
      <x:c r="S165"/>
      <x:c r="T165"/>
      <x:c r="U165"/>
      <x:c r="V165"/>
      <x:c r="W165"/>
      <x:c r="X165"/>
      <x:c r="Y165"/>
    </x:row>
    <x:row r="166">
      <x:c r="A166" s="3"/>
      <x:c r="B166"/>
      <x:c r="C166"/>
      <x:c r="D166"/>
      <x:c r="E166"/>
      <x:c r="F166"/>
      <x:c r="G166"/>
      <x:c r="H166"/>
      <x:c r="I166"/>
      <x:c r="J166"/>
      <x:c r="K166"/>
      <x:c r="L166"/>
      <x:c r="M166"/>
      <x:c r="N166"/>
      <x:c r="O166"/>
      <x:c r="P166"/>
      <x:c r="Q166"/>
      <x:c r="R166"/>
      <x:c r="S166"/>
      <x:c r="T166"/>
      <x:c r="U166"/>
      <x:c r="V166"/>
      <x:c r="W166"/>
      <x:c r="X166"/>
      <x:c r="Y166"/>
    </x:row>
    <x:row r="167">
      <x:c r="A167" s="3"/>
      <x:c r="B167"/>
      <x:c r="C167"/>
      <x:c r="D167"/>
      <x:c r="E167"/>
      <x:c r="F167"/>
      <x:c r="G167"/>
      <x:c r="H167"/>
      <x:c r="I167"/>
      <x:c r="J167"/>
      <x:c r="K167"/>
      <x:c r="L167"/>
      <x:c r="M167"/>
      <x:c r="N167"/>
      <x:c r="O167"/>
      <x:c r="P167"/>
      <x:c r="Q167"/>
      <x:c r="R167"/>
      <x:c r="S167"/>
      <x:c r="T167"/>
      <x:c r="U167"/>
      <x:c r="V167"/>
      <x:c r="W167"/>
      <x:c r="X167"/>
      <x:c r="Y167"/>
    </x:row>
    <x:row r="168">
      <x:c r="A168" s="3"/>
      <x:c r="B168"/>
      <x:c r="C168"/>
      <x:c r="D168"/>
      <x:c r="E168"/>
      <x:c r="F168"/>
      <x:c r="G168"/>
      <x:c r="H168"/>
      <x:c r="I168"/>
      <x:c r="J168"/>
      <x:c r="K168"/>
      <x:c r="L168"/>
      <x:c r="M168"/>
      <x:c r="N168"/>
      <x:c r="O168"/>
      <x:c r="P168"/>
      <x:c r="Q168"/>
      <x:c r="R168"/>
      <x:c r="S168"/>
      <x:c r="T168"/>
      <x:c r="U168"/>
      <x:c r="V168"/>
      <x:c r="W168"/>
      <x:c r="X168"/>
      <x:c r="Y168"/>
    </x:row>
    <x:row r="169">
      <x:c r="A169" s="3"/>
      <x:c r="B169"/>
      <x:c r="C169"/>
      <x:c r="D169"/>
      <x:c r="E169"/>
      <x:c r="F169"/>
      <x:c r="G169"/>
      <x:c r="H169"/>
      <x:c r="I169"/>
      <x:c r="J169"/>
      <x:c r="K169"/>
      <x:c r="L169"/>
      <x:c r="M169"/>
      <x:c r="N169"/>
      <x:c r="O169"/>
      <x:c r="P169"/>
      <x:c r="Q169"/>
      <x:c r="R169"/>
      <x:c r="S169"/>
      <x:c r="T169"/>
      <x:c r="U169"/>
      <x:c r="V169"/>
      <x:c r="W169"/>
      <x:c r="X169"/>
      <x:c r="Y169"/>
    </x:row>
    <x:row r="170">
      <x:c r="A170" s="3"/>
      <x:c r="B170"/>
      <x:c r="C170"/>
      <x:c r="D170"/>
      <x:c r="E170"/>
      <x:c r="F170"/>
      <x:c r="G170"/>
      <x:c r="H170"/>
      <x:c r="I170"/>
      <x:c r="J170"/>
      <x:c r="K170"/>
      <x:c r="L170"/>
      <x:c r="M170"/>
      <x:c r="N170"/>
      <x:c r="O170"/>
      <x:c r="P170"/>
      <x:c r="Q170"/>
      <x:c r="R170"/>
      <x:c r="S170"/>
      <x:c r="T170"/>
      <x:c r="U170"/>
      <x:c r="V170"/>
      <x:c r="W170"/>
      <x:c r="X170"/>
      <x:c r="Y170"/>
    </x:row>
    <x:row r="171">
      <x:c r="A171" s="3"/>
      <x:c r="B171"/>
      <x:c r="C171"/>
      <x:c r="D171"/>
      <x:c r="E171"/>
      <x:c r="F171"/>
      <x:c r="G171"/>
      <x:c r="H171"/>
      <x:c r="I171"/>
      <x:c r="J171"/>
      <x:c r="K171"/>
      <x:c r="L171"/>
      <x:c r="M171"/>
      <x:c r="N171"/>
      <x:c r="O171"/>
      <x:c r="P171"/>
      <x:c r="Q171"/>
      <x:c r="R171"/>
      <x:c r="S171"/>
      <x:c r="T171"/>
      <x:c r="U171"/>
      <x:c r="V171"/>
      <x:c r="W171"/>
      <x:c r="X171"/>
      <x:c r="Y171"/>
    </x:row>
    <x:row r="172">
      <x:c r="A172" s="3"/>
      <x:c r="B172"/>
      <x:c r="C172"/>
      <x:c r="D172"/>
      <x:c r="E172"/>
      <x:c r="F172"/>
      <x:c r="G172"/>
      <x:c r="H172"/>
      <x:c r="I172"/>
      <x:c r="J172"/>
      <x:c r="K172"/>
      <x:c r="L172"/>
      <x:c r="M172"/>
      <x:c r="N172"/>
      <x:c r="O172"/>
      <x:c r="P172"/>
      <x:c r="Q172"/>
      <x:c r="R172"/>
      <x:c r="S172"/>
      <x:c r="T172"/>
      <x:c r="U172"/>
      <x:c r="V172"/>
      <x:c r="W172"/>
      <x:c r="X172"/>
      <x:c r="Y172"/>
    </x:row>
    <x:row r="173">
      <x:c r="A173" s="3"/>
      <x:c r="B173"/>
      <x:c r="C173"/>
      <x:c r="D173"/>
      <x:c r="E173"/>
      <x:c r="F173"/>
      <x:c r="G173"/>
      <x:c r="H173"/>
      <x:c r="I173"/>
      <x:c r="J173"/>
      <x:c r="K173"/>
      <x:c r="L173"/>
      <x:c r="M173"/>
      <x:c r="N173"/>
      <x:c r="O173"/>
      <x:c r="P173"/>
      <x:c r="Q173"/>
      <x:c r="R173"/>
      <x:c r="S173"/>
      <x:c r="T173"/>
      <x:c r="U173"/>
      <x:c r="V173"/>
      <x:c r="W173"/>
      <x:c r="X173"/>
      <x:c r="Y173"/>
    </x:row>
    <x:row r="174">
      <x:c r="A174" s="3"/>
      <x:c r="B174"/>
      <x:c r="C174"/>
      <x:c r="D174"/>
      <x:c r="E174"/>
      <x:c r="F174"/>
      <x:c r="G174"/>
      <x:c r="H174"/>
      <x:c r="I174"/>
      <x:c r="J174"/>
      <x:c r="K174"/>
      <x:c r="L174"/>
      <x:c r="M174"/>
      <x:c r="N174"/>
      <x:c r="O174"/>
      <x:c r="P174"/>
      <x:c r="Q174"/>
      <x:c r="R174"/>
      <x:c r="S174"/>
      <x:c r="T174"/>
      <x:c r="U174"/>
      <x:c r="V174"/>
      <x:c r="W174"/>
      <x:c r="X174"/>
      <x:c r="Y174"/>
    </x:row>
    <x:row r="175">
      <x:c r="A175" s="3"/>
      <x:c r="B175"/>
      <x:c r="C175"/>
      <x:c r="D175"/>
      <x:c r="E175"/>
      <x:c r="F175"/>
      <x:c r="G175"/>
      <x:c r="H175"/>
      <x:c r="I175"/>
      <x:c r="J175"/>
      <x:c r="K175"/>
      <x:c r="L175"/>
      <x:c r="M175"/>
      <x:c r="N175"/>
      <x:c r="O175"/>
      <x:c r="P175"/>
      <x:c r="Q175"/>
      <x:c r="R175"/>
      <x:c r="S175"/>
      <x:c r="T175"/>
      <x:c r="U175"/>
      <x:c r="V175"/>
      <x:c r="W175"/>
      <x:c r="X175"/>
      <x:c r="Y175"/>
    </x:row>
    <x:row r="176">
      <x:c r="A176" s="3"/>
      <x:c r="B176"/>
      <x:c r="C176"/>
      <x:c r="D176"/>
      <x:c r="E176"/>
      <x:c r="F176"/>
      <x:c r="G176"/>
      <x:c r="H176"/>
      <x:c r="I176"/>
      <x:c r="J176"/>
      <x:c r="K176"/>
      <x:c r="L176"/>
      <x:c r="M176"/>
      <x:c r="N176"/>
      <x:c r="O176"/>
      <x:c r="P176"/>
      <x:c r="Q176"/>
      <x:c r="R176"/>
      <x:c r="S176"/>
      <x:c r="T176"/>
      <x:c r="U176"/>
      <x:c r="V176"/>
      <x:c r="W176"/>
      <x:c r="X176"/>
      <x:c r="Y176"/>
    </x:row>
    <x:row r="177">
      <x:c r="A177" s="3"/>
      <x:c r="B177"/>
      <x:c r="C177"/>
      <x:c r="D177"/>
      <x:c r="E177"/>
      <x:c r="F177"/>
      <x:c r="G177"/>
      <x:c r="H177"/>
      <x:c r="I177"/>
      <x:c r="J177"/>
      <x:c r="K177"/>
      <x:c r="L177"/>
      <x:c r="M177"/>
      <x:c r="N177"/>
      <x:c r="O177"/>
      <x:c r="P177"/>
      <x:c r="Q177"/>
      <x:c r="R177"/>
      <x:c r="S177"/>
      <x:c r="T177"/>
      <x:c r="U177"/>
      <x:c r="V177"/>
      <x:c r="W177"/>
      <x:c r="X177"/>
      <x:c r="Y177"/>
    </x:row>
    <x:row r="178">
      <x:c r="A178" s="3"/>
      <x:c r="B178"/>
      <x:c r="C178"/>
      <x:c r="D178"/>
      <x:c r="E178"/>
      <x:c r="F178"/>
      <x:c r="G178"/>
      <x:c r="H178"/>
      <x:c r="I178"/>
      <x:c r="J178"/>
      <x:c r="K178"/>
      <x:c r="L178"/>
      <x:c r="M178"/>
      <x:c r="N178"/>
      <x:c r="O178"/>
      <x:c r="P178"/>
      <x:c r="Q178"/>
      <x:c r="R178"/>
      <x:c r="S178"/>
      <x:c r="T178"/>
      <x:c r="U178"/>
      <x:c r="V178"/>
      <x:c r="W178"/>
      <x:c r="X178"/>
      <x:c r="Y178"/>
    </x:row>
    <x:row r="179">
      <x:c r="A179" s="3"/>
      <x:c r="B179"/>
      <x:c r="C179"/>
      <x:c r="D179"/>
      <x:c r="E179"/>
      <x:c r="F179"/>
      <x:c r="G179"/>
      <x:c r="H179"/>
      <x:c r="I179"/>
      <x:c r="J179"/>
      <x:c r="K179"/>
      <x:c r="L179"/>
      <x:c r="M179"/>
      <x:c r="N179"/>
      <x:c r="O179"/>
      <x:c r="P179"/>
      <x:c r="Q179"/>
      <x:c r="R179"/>
      <x:c r="S179"/>
      <x:c r="T179"/>
      <x:c r="U179"/>
      <x:c r="V179"/>
      <x:c r="W179"/>
      <x:c r="X179"/>
      <x:c r="Y179"/>
    </x:row>
    <x:row r="180">
      <x:c r="A180" s="3"/>
      <x:c r="B180"/>
      <x:c r="C180"/>
      <x:c r="D180"/>
      <x:c r="E180"/>
      <x:c r="F180"/>
      <x:c r="G180"/>
      <x:c r="H180"/>
      <x:c r="I180"/>
      <x:c r="J180"/>
      <x:c r="K180"/>
      <x:c r="L180"/>
      <x:c r="M180"/>
      <x:c r="N180"/>
      <x:c r="O180"/>
      <x:c r="P180"/>
      <x:c r="Q180"/>
      <x:c r="R180"/>
      <x:c r="S180"/>
      <x:c r="T180"/>
      <x:c r="U180"/>
      <x:c r="V180"/>
      <x:c r="W180"/>
      <x:c r="X180"/>
      <x:c r="Y180"/>
    </x:row>
    <x:row r="181">
      <x:c r="A181" s="3"/>
      <x:c r="B181"/>
      <x:c r="C181"/>
      <x:c r="D181"/>
      <x:c r="E181"/>
      <x:c r="F181"/>
      <x:c r="G181"/>
      <x:c r="H181"/>
      <x:c r="I181"/>
      <x:c r="J181"/>
      <x:c r="K181"/>
      <x:c r="L181"/>
      <x:c r="M181"/>
      <x:c r="N181"/>
      <x:c r="O181"/>
      <x:c r="P181"/>
      <x:c r="Q181"/>
      <x:c r="R181"/>
      <x:c r="S181"/>
      <x:c r="T181"/>
      <x:c r="U181"/>
      <x:c r="V181"/>
      <x:c r="W181"/>
      <x:c r="X181"/>
      <x:c r="Y181"/>
    </x:row>
    <x:row r="182">
      <x:c r="A182" s="3"/>
      <x:c r="B182"/>
      <x:c r="C182"/>
      <x:c r="D182"/>
      <x:c r="E182"/>
      <x:c r="F182"/>
      <x:c r="G182"/>
      <x:c r="H182"/>
      <x:c r="I182"/>
      <x:c r="J182"/>
      <x:c r="K182"/>
      <x:c r="L182"/>
      <x:c r="M182"/>
      <x:c r="N182"/>
      <x:c r="O182"/>
      <x:c r="P182"/>
      <x:c r="Q182"/>
      <x:c r="R182"/>
      <x:c r="S182"/>
      <x:c r="T182"/>
      <x:c r="U182"/>
      <x:c r="V182"/>
      <x:c r="W182"/>
      <x:c r="X182"/>
      <x:c r="Y182"/>
    </x:row>
    <x:row r="183">
      <x:c r="A183" s="3"/>
      <x:c r="B183"/>
      <x:c r="C183"/>
      <x:c r="D183"/>
      <x:c r="E183"/>
      <x:c r="F183"/>
      <x:c r="G183"/>
      <x:c r="H183"/>
      <x:c r="I183"/>
      <x:c r="J183"/>
      <x:c r="K183"/>
      <x:c r="L183"/>
      <x:c r="M183"/>
      <x:c r="N183"/>
      <x:c r="O183"/>
      <x:c r="P183"/>
      <x:c r="Q183"/>
      <x:c r="R183"/>
      <x:c r="S183"/>
      <x:c r="T183"/>
      <x:c r="U183"/>
      <x:c r="V183"/>
      <x:c r="W183"/>
      <x:c r="X183"/>
      <x:c r="Y183"/>
    </x:row>
    <x:row r="184">
      <x:c r="A184" s="3"/>
      <x:c r="B184"/>
      <x:c r="C184"/>
      <x:c r="D184"/>
      <x:c r="E184"/>
      <x:c r="F184"/>
      <x:c r="G184"/>
      <x:c r="H184"/>
      <x:c r="I184"/>
      <x:c r="J184"/>
      <x:c r="K184"/>
      <x:c r="L184"/>
      <x:c r="M184"/>
      <x:c r="N184"/>
      <x:c r="O184"/>
      <x:c r="P184"/>
      <x:c r="Q184"/>
      <x:c r="R184"/>
      <x:c r="S184"/>
      <x:c r="T184"/>
      <x:c r="U184"/>
      <x:c r="V184"/>
      <x:c r="W184"/>
      <x:c r="X184"/>
      <x:c r="Y184"/>
    </x:row>
    <x:row r="185">
      <x:c r="A185" s="3"/>
      <x:c r="B185"/>
      <x:c r="C185"/>
      <x:c r="D185"/>
      <x:c r="E185"/>
      <x:c r="F185"/>
      <x:c r="G185"/>
      <x:c r="H185"/>
      <x:c r="I185"/>
      <x:c r="J185"/>
      <x:c r="K185"/>
      <x:c r="L185"/>
      <x:c r="M185"/>
      <x:c r="N185"/>
      <x:c r="O185"/>
      <x:c r="P185"/>
      <x:c r="Q185"/>
      <x:c r="R185"/>
      <x:c r="S185"/>
      <x:c r="T185"/>
      <x:c r="U185"/>
      <x:c r="V185"/>
      <x:c r="W185"/>
      <x:c r="X185"/>
      <x:c r="Y185"/>
    </x:row>
    <x:row r="186">
      <x:c r="A186" s="3"/>
      <x:c r="B186"/>
      <x:c r="C186"/>
      <x:c r="D186"/>
      <x:c r="E186"/>
      <x:c r="F186"/>
      <x:c r="G186"/>
      <x:c r="H186"/>
      <x:c r="I186"/>
      <x:c r="J186"/>
      <x:c r="K186"/>
      <x:c r="L186"/>
      <x:c r="M186"/>
      <x:c r="N186"/>
      <x:c r="O186"/>
      <x:c r="P186"/>
      <x:c r="Q186"/>
      <x:c r="R186"/>
      <x:c r="S186"/>
      <x:c r="T186"/>
      <x:c r="U186"/>
      <x:c r="V186"/>
      <x:c r="W186"/>
      <x:c r="X186"/>
      <x:c r="Y186"/>
    </x:row>
    <x:row r="187">
      <x:c r="A187" s="3"/>
      <x:c r="B187"/>
      <x:c r="C187"/>
      <x:c r="D187"/>
      <x:c r="E187"/>
      <x:c r="F187"/>
      <x:c r="G187"/>
      <x:c r="H187"/>
      <x:c r="I187"/>
      <x:c r="J187"/>
      <x:c r="K187"/>
      <x:c r="L187"/>
      <x:c r="M187"/>
      <x:c r="N187"/>
      <x:c r="O187"/>
      <x:c r="P187"/>
      <x:c r="Q187"/>
      <x:c r="R187"/>
      <x:c r="S187"/>
      <x:c r="T187"/>
      <x:c r="U187"/>
      <x:c r="V187"/>
      <x:c r="W187"/>
      <x:c r="X187"/>
      <x:c r="Y187"/>
    </x:row>
    <x:row r="188">
      <x:c r="A188" s="3"/>
      <x:c r="B188"/>
      <x:c r="C188"/>
      <x:c r="D188"/>
      <x:c r="E188"/>
      <x:c r="F188"/>
      <x:c r="G188"/>
      <x:c r="H188"/>
      <x:c r="I188"/>
      <x:c r="J188"/>
      <x:c r="K188"/>
      <x:c r="L188"/>
      <x:c r="M188"/>
      <x:c r="N188"/>
      <x:c r="O188"/>
      <x:c r="P188"/>
      <x:c r="Q188"/>
      <x:c r="R188"/>
      <x:c r="S188"/>
      <x:c r="T188"/>
      <x:c r="U188"/>
      <x:c r="V188"/>
      <x:c r="W188"/>
      <x:c r="X188"/>
      <x:c r="Y188"/>
    </x:row>
    <x:row r="189">
      <x:c r="A189" s="3"/>
      <x:c r="B189"/>
      <x:c r="C189"/>
      <x:c r="D189"/>
      <x:c r="E189"/>
      <x:c r="F189"/>
      <x:c r="G189"/>
      <x:c r="H189"/>
      <x:c r="I189"/>
      <x:c r="J189"/>
      <x:c r="K189"/>
      <x:c r="L189"/>
      <x:c r="M189"/>
      <x:c r="N189"/>
      <x:c r="O189"/>
      <x:c r="P189"/>
      <x:c r="Q189"/>
      <x:c r="R189"/>
      <x:c r="S189"/>
      <x:c r="T189"/>
      <x:c r="U189"/>
      <x:c r="V189"/>
      <x:c r="W189"/>
      <x:c r="X189"/>
      <x:c r="Y189"/>
    </x:row>
    <x:row r="190">
      <x:c r="A190" s="3"/>
      <x:c r="B190"/>
      <x:c r="C190"/>
      <x:c r="D190"/>
      <x:c r="E190"/>
      <x:c r="F190"/>
      <x:c r="G190"/>
      <x:c r="H190"/>
      <x:c r="I190"/>
      <x:c r="J190"/>
      <x:c r="K190"/>
      <x:c r="L190"/>
      <x:c r="M190"/>
      <x:c r="N190"/>
      <x:c r="O190"/>
      <x:c r="P190"/>
      <x:c r="Q190"/>
      <x:c r="R190"/>
      <x:c r="S190"/>
      <x:c r="T190"/>
      <x:c r="U190"/>
      <x:c r="V190"/>
      <x:c r="W190"/>
      <x:c r="X190"/>
      <x:c r="Y190"/>
    </x:row>
    <x:row r="191">
      <x:c r="A191" s="3"/>
      <x:c r="B191"/>
      <x:c r="C191"/>
      <x:c r="D191"/>
      <x:c r="E191"/>
      <x:c r="F191"/>
      <x:c r="G191"/>
      <x:c r="H191"/>
      <x:c r="I191"/>
      <x:c r="J191"/>
      <x:c r="K191"/>
      <x:c r="L191"/>
      <x:c r="M191"/>
      <x:c r="N191"/>
      <x:c r="O191"/>
      <x:c r="P191"/>
      <x:c r="Q191"/>
      <x:c r="R191"/>
      <x:c r="S191"/>
      <x:c r="T191"/>
      <x:c r="U191"/>
      <x:c r="V191"/>
      <x:c r="W191"/>
      <x:c r="X191"/>
      <x:c r="Y191"/>
    </x:row>
    <x:row r="192">
      <x:c r="A192" s="3"/>
      <x:c r="B192"/>
      <x:c r="C192"/>
      <x:c r="D192"/>
      <x:c r="E192"/>
      <x:c r="F192"/>
      <x:c r="G192"/>
      <x:c r="H192"/>
      <x:c r="I192"/>
      <x:c r="J192"/>
      <x:c r="K192"/>
      <x:c r="L192"/>
      <x:c r="M192"/>
      <x:c r="N192"/>
      <x:c r="O192"/>
      <x:c r="P192"/>
      <x:c r="Q192"/>
      <x:c r="R192"/>
      <x:c r="S192"/>
      <x:c r="T192"/>
      <x:c r="U192"/>
      <x:c r="V192"/>
      <x:c r="W192"/>
      <x:c r="X192"/>
      <x:c r="Y192"/>
    </x:row>
    <x:row r="193">
      <x:c r="A193" s="3"/>
      <x:c r="B193"/>
      <x:c r="C193"/>
      <x:c r="D193"/>
      <x:c r="E193"/>
      <x:c r="F193"/>
      <x:c r="G193"/>
      <x:c r="H193"/>
      <x:c r="I193"/>
      <x:c r="J193"/>
      <x:c r="K193"/>
      <x:c r="L193"/>
      <x:c r="M193"/>
      <x:c r="N193"/>
      <x:c r="O193"/>
      <x:c r="P193"/>
      <x:c r="Q193"/>
      <x:c r="R193"/>
      <x:c r="S193"/>
      <x:c r="T193"/>
      <x:c r="U193"/>
      <x:c r="V193"/>
      <x:c r="W193"/>
      <x:c r="X193"/>
      <x:c r="Y193"/>
    </x:row>
    <x:row r="194">
      <x:c r="A194" s="3"/>
      <x:c r="B194"/>
      <x:c r="C194"/>
      <x:c r="D194"/>
      <x:c r="E194"/>
      <x:c r="F194"/>
      <x:c r="G194"/>
      <x:c r="H194"/>
      <x:c r="I194"/>
      <x:c r="J194"/>
      <x:c r="K194"/>
      <x:c r="L194"/>
      <x:c r="M194"/>
      <x:c r="N194"/>
      <x:c r="O194"/>
      <x:c r="P194"/>
      <x:c r="Q194"/>
      <x:c r="R194"/>
      <x:c r="S194"/>
      <x:c r="T194"/>
      <x:c r="U194"/>
      <x:c r="V194"/>
      <x:c r="W194"/>
      <x:c r="X194"/>
      <x:c r="Y194"/>
    </x:row>
    <x:row r="195">
      <x:c r="A195" s="3"/>
      <x:c r="B195"/>
      <x:c r="C195"/>
      <x:c r="D195"/>
      <x:c r="E195"/>
      <x:c r="F195"/>
      <x:c r="G195"/>
      <x:c r="H195"/>
      <x:c r="I195"/>
      <x:c r="J195"/>
      <x:c r="K195"/>
      <x:c r="L195"/>
      <x:c r="M195"/>
      <x:c r="N195"/>
      <x:c r="O195"/>
      <x:c r="P195"/>
      <x:c r="Q195"/>
      <x:c r="R195"/>
      <x:c r="S195"/>
      <x:c r="T195"/>
      <x:c r="U195"/>
      <x:c r="V195"/>
      <x:c r="W195"/>
      <x:c r="X195"/>
      <x:c r="Y195"/>
    </x:row>
    <x:row r="196">
      <x:c r="A196" s="3"/>
      <x:c r="B196"/>
      <x:c r="C196"/>
      <x:c r="D196"/>
      <x:c r="E196"/>
      <x:c r="F196"/>
      <x:c r="G196"/>
      <x:c r="H196"/>
      <x:c r="I196"/>
      <x:c r="J196"/>
      <x:c r="K196"/>
      <x:c r="L196"/>
      <x:c r="M196"/>
      <x:c r="N196"/>
      <x:c r="O196"/>
      <x:c r="P196"/>
      <x:c r="Q196"/>
      <x:c r="R196"/>
      <x:c r="S196"/>
      <x:c r="T196"/>
      <x:c r="U196"/>
      <x:c r="V196"/>
      <x:c r="W196"/>
      <x:c r="X196"/>
      <x:c r="Y196"/>
    </x:row>
    <x:row r="197">
      <x:c r="A197" s="3"/>
      <x:c r="B197"/>
      <x:c r="C197"/>
      <x:c r="D197"/>
      <x:c r="E197"/>
      <x:c r="F197"/>
      <x:c r="G197"/>
      <x:c r="H197"/>
      <x:c r="I197"/>
      <x:c r="J197"/>
      <x:c r="K197"/>
      <x:c r="L197"/>
      <x:c r="M197"/>
      <x:c r="N197"/>
      <x:c r="O197"/>
      <x:c r="P197"/>
      <x:c r="Q197"/>
      <x:c r="R197"/>
      <x:c r="S197"/>
      <x:c r="T197"/>
      <x:c r="U197"/>
      <x:c r="V197"/>
      <x:c r="W197"/>
      <x:c r="X197"/>
      <x:c r="Y197"/>
    </x:row>
    <x:row r="198">
      <x:c r="A198" s="3"/>
      <x:c r="B198"/>
      <x:c r="C198"/>
      <x:c r="D198"/>
      <x:c r="E198"/>
      <x:c r="F198"/>
      <x:c r="G198"/>
      <x:c r="H198"/>
      <x:c r="I198"/>
      <x:c r="J198"/>
      <x:c r="K198"/>
      <x:c r="L198"/>
      <x:c r="M198"/>
      <x:c r="N198"/>
      <x:c r="O198"/>
      <x:c r="P198"/>
      <x:c r="Q198"/>
      <x:c r="R198"/>
      <x:c r="S198"/>
      <x:c r="T198"/>
      <x:c r="U198"/>
      <x:c r="V198"/>
      <x:c r="W198"/>
      <x:c r="X198"/>
      <x:c r="Y198"/>
    </x:row>
    <x:row r="199">
      <x:c r="A199" s="3"/>
      <x:c r="B199"/>
      <x:c r="C199"/>
      <x:c r="D199"/>
      <x:c r="E199"/>
      <x:c r="F199"/>
      <x:c r="G199"/>
      <x:c r="H199"/>
      <x:c r="I199"/>
      <x:c r="J199"/>
      <x:c r="K199"/>
      <x:c r="L199"/>
      <x:c r="M199"/>
      <x:c r="N199"/>
      <x:c r="O199"/>
      <x:c r="P199"/>
      <x:c r="Q199"/>
      <x:c r="R199"/>
      <x:c r="S199"/>
      <x:c r="T199"/>
      <x:c r="U199"/>
      <x:c r="V199"/>
      <x:c r="W199"/>
      <x:c r="X199"/>
      <x:c r="Y199"/>
    </x:row>
    <x:row r="200">
      <x:c r="A200" s="3"/>
      <x:c r="B200"/>
      <x:c r="C200"/>
      <x:c r="D200"/>
      <x:c r="E200"/>
      <x:c r="F200"/>
      <x:c r="G200"/>
      <x:c r="H200"/>
      <x:c r="I200"/>
      <x:c r="J200"/>
      <x:c r="K200"/>
      <x:c r="L200"/>
      <x:c r="M200"/>
      <x:c r="N200"/>
      <x:c r="O200"/>
      <x:c r="P200"/>
      <x:c r="Q200"/>
      <x:c r="R200"/>
      <x:c r="S200"/>
      <x:c r="T200"/>
      <x:c r="U200"/>
      <x:c r="V200"/>
      <x:c r="W200"/>
      <x:c r="X200"/>
      <x:c r="Y200"/>
    </x:row>
  </x:sheetData>
  <x:pageMargins left="0.7" right="0.7" top="0.75" bottom="0.75" header="0.3" footer="0.3"/>
</x:worksheet>
</file>

<file path=xl/worksheets/sheet3.xml><?xml version="1.0" encoding="utf-8"?>
<x:worksheet xmlns:x="http://schemas.openxmlformats.org/spreadsheetml/2006/main">
  <x:sheetPr>
    <x:tabColor rgb="FF7A8CA5"/>
  </x:sheetPr>
  <x:sheetViews>
    <x:sheetView showGridLines="0" workbookViewId="0">
      <x:pane xSplit="3" ySplit="1" topLeftCell="D2" activePane="bottomRight" state="frozen"/>
    </x:sheetView>
  </x:sheetViews>
  <x:sheetFormatPr defaultRowHeight="15"/>
  <x:cols>
    <x:col min="1" max="1" width="12" hidden="0" customWidth="1"/>
    <x:col min="2" max="2" width="24" hidden="0" customWidth="1"/>
    <x:col min="3" max="3" width="10"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32" hidden="0" customWidth="1"/>
    <x:col min="13" max="13" width="32" hidden="0" customWidth="1"/>
    <x:col min="14" max="14" width="32" hidden="0" customWidth="1"/>
    <x:col min="15" max="15" width="3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x:c r="A1" s="21" t="str">
        <x:v>Response ID</x:v>
      </x:c>
      <x:c r="B1" s="22" t="str">
        <x:v>Submitted at</x:v>
      </x:c>
      <x:c r="C1" s="22" t="str">
        <x:v>Source row</x:v>
      </x:c>
      <x:c r="D1" s="22" t="str">
        <x:v>Schema</x:v>
      </x:c>
      <x:c r="E1" s="22" t="str">
        <x:v>Language</x:v>
      </x:c>
      <x:c r="F1" s="22" t="str">
        <x:v>Role</x:v>
      </x:c>
      <x:c r="G1" s="22" t="str">
        <x:v>City group</x:v>
      </x:c>
      <x:c r="H1" s="22" t="str">
        <x:v>City detail</x:v>
      </x:c>
      <x:c r="I1" s="22" t="str">
        <x:v>Recent four-wheel</x:v>
      </x:c>
      <x:c r="J1" s="22" t="str">
        <x:v>Pickup difficulty</x:v>
      </x:c>
      <x:c r="K1" s="22" t="str">
        <x:v>Issue flag</x:v>
      </x:c>
      <x:c r="L1" s="22" t="str">
        <x:v>Main story</x:v>
      </x:c>
      <x:c r="M1" s="22" t="str">
        <x:v>Confusion start</x:v>
      </x:c>
      <x:c r="N1" s="22" t="str">
        <x:v>Actions and reasoning</x:v>
      </x:c>
      <x:c r="O1" s="22" t="str">
        <x:v>Frustration or missing help</x:v>
      </x:c>
      <x:c r="P1" s="22" t="str">
        <x:v>What happened</x:v>
      </x:c>
      <x:c r="Q1" s="22" t="str">
        <x:v>Locations</x:v>
      </x:c>
      <x:c r="R1" s="22" t="str">
        <x:v>Actions</x:v>
      </x:c>
      <x:c r="S1" s="22" t="str">
        <x:v>Actions other</x:v>
      </x:c>
      <x:c r="T1" s="22" t="str">
        <x:v>Extra time</x:v>
      </x:c>
      <x:c r="U1" s="22" t="str">
        <x:v>What helped</x:v>
      </x:c>
      <x:c r="V1" s="22" t="str">
        <x:v>Repeated</x:v>
      </x:c>
      <x:c r="W1" s="22" t="str">
        <x:v>Additional comment</x:v>
      </x:c>
      <x:c r="X1" s="22" t="str">
        <x:v>Follow-up opt-in</x:v>
      </x:c>
      <x:c r="Y1" s="22" t="str">
        <x:v>Qualitative coverage</x:v>
      </x:c>
      <x:c r="Z1" s="22" t="str">
        <x:v>In-scope flag</x:v>
      </x:c>
      <x:c r="AA1" s="22" t="str">
        <x:v>Hyderabad flag</x:v>
      </x:c>
      <x:c r="AB1" s="22" t="str">
        <x:v>Over five minutes flag</x:v>
      </x:c>
      <x:c r="AC1" s="22" t="str">
        <x:v>Current issue with story</x:v>
      </x:c>
      <x:c r="AD1" s="22" t="str">
        <x:v>All four open answers</x:v>
      </x:c>
      <x:c r="AE1" s="23" t="str">
        <x:v>All four detailed answers</x:v>
      </x:c>
    </x:row>
    <x:row r="2">
      <x:c r="A2" s="24" t="str">
        <x:v>R004</x:v>
      </x:c>
      <x:c r="B2" s="32" t="n">
        <x:v>46282.13739380787</x:v>
      </x:c>
      <x:c r="C2" s="25" t="n">
        <x:v>4</x:v>
      </x:c>
      <x:c r="D2" s="25" t="str">
        <x:v>Legacy</x:v>
      </x:c>
      <x:c r="E2" s="25" t="str">
        <x:v>en</x:v>
      </x:c>
      <x:c r="F2" s="25" t="str">
        <x:v>rider</x:v>
      </x:c>
      <x:c r="G2" s="25" t="str">
        <x:v>Hyderabad</x:v>
      </x:c>
      <x:c r="H2" s="25" t="str">
        <x:v>Hyderabad</x:v>
      </x:c>
      <x:c r="I2" s="25" t="str">
        <x:v>yes</x:v>
      </x:c>
      <x:c r="J2" s="25" t="str">
        <x:v>no</x:v>
      </x:c>
      <x:c r="K2" s="25" t="n">
        <x:v>0</x:v>
      </x:c>
      <x:c r="L2" s="26" t="str"/>
      <x:c r="M2" s="26" t="str"/>
      <x:c r="N2" s="26" t="str"/>
      <x:c r="O2" s="26" t="str"/>
      <x:c r="P2" s="26" t="str"/>
      <x:c r="Q2" s="26" t="str"/>
      <x:c r="R2" s="26" t="str"/>
      <x:c r="S2" s="26" t="str"/>
      <x:c r="T2" s="26" t="str"/>
      <x:c r="U2" s="26" t="str"/>
      <x:c r="V2" s="26" t="str"/>
      <x:c r="W2" s="26" t="str"/>
      <x:c r="X2" s="25" t="str">
        <x:v>no</x:v>
      </x:c>
      <x:c r="Y2" s="25" t="str">
        <x:v>No issue detail</x:v>
      </x:c>
      <x:c r="Z2" s="25" t="n">
        <x:v>1</x:v>
      </x:c>
      <x:c r="AA2" s="25" t="n">
        <x:v>1</x:v>
      </x:c>
      <x:c r="AB2" s="25" t="n">
        <x:v>0</x:v>
      </x:c>
      <x:c r="AC2" s="25" t="n">
        <x:v>0</x:v>
      </x:c>
      <x:c r="AD2" s="25" t="n">
        <x:v>0</x:v>
      </x:c>
      <x:c r="AE2" s="27" t="n">
        <x:v>0</x:v>
      </x:c>
    </x:row>
    <x:row r="3">
      <x:c r="A3" s="24" t="str">
        <x:v>R005</x:v>
      </x:c>
      <x:c r="B3" s="32" t="n">
        <x:v>46282.147941180556</x:v>
      </x:c>
      <x:c r="C3" s="25" t="n">
        <x:v>5</x:v>
      </x:c>
      <x:c r="D3" s="25" t="str">
        <x:v>Legacy</x:v>
      </x:c>
      <x:c r="E3" s="25" t="str">
        <x:v>en</x:v>
      </x:c>
      <x:c r="F3" s="25" t="str">
        <x:v>rider</x:v>
      </x:c>
      <x:c r="G3" s="25" t="str">
        <x:v>Hyderabad</x:v>
      </x:c>
      <x:c r="H3" s="25" t="str">
        <x:v>Hyderabad</x:v>
      </x:c>
      <x:c r="I3" s="25" t="str">
        <x:v>yes</x:v>
      </x:c>
      <x:c r="J3" s="25" t="str">
        <x:v>yes</x:v>
      </x:c>
      <x:c r="K3" s="25" t="n">
        <x:v>1</x:v>
      </x:c>
      <x:c r="L3" s="26" t="str"/>
      <x:c r="M3" s="26" t="str"/>
      <x:c r="N3" s="26" t="str"/>
      <x:c r="O3" s="26" t="str"/>
      <x:c r="P3" s="26" t="str"/>
      <x:c r="Q3" s="26" t="str">
        <x:v>mall</x:v>
      </x:c>
      <x:c r="R3" s="26" t="str">
        <x:v>called</x:v>
      </x:c>
      <x:c r="S3" s="26" t="str"/>
      <x:c r="T3" s="26" t="str"/>
      <x:c r="U3" s="26" t="str">
        <x:v>driver_moved</x:v>
      </x:c>
      <x:c r="V3" s="26" t="str">
        <x:v>no</x:v>
      </x:c>
      <x:c r="W3" s="26" t="str"/>
      <x:c r="X3" s="25" t="str">
        <x:v>no</x:v>
      </x:c>
      <x:c r="Y3" s="25" t="str">
        <x:v>Structured only</x:v>
      </x:c>
      <x:c r="Z3" s="25" t="n">
        <x:v>1</x:v>
      </x:c>
      <x:c r="AA3" s="25" t="n">
        <x:v>1</x:v>
      </x:c>
      <x:c r="AB3" s="25" t="n">
        <x:v>0</x:v>
      </x:c>
      <x:c r="AC3" s="25" t="n">
        <x:v>0</x:v>
      </x:c>
      <x:c r="AD3" s="25" t="n">
        <x:v>0</x:v>
      </x:c>
      <x:c r="AE3" s="27" t="n">
        <x:v>0</x:v>
      </x:c>
    </x:row>
    <x:row r="4">
      <x:c r="A4" s="24" t="str">
        <x:v>R006</x:v>
      </x:c>
      <x:c r="B4" s="32" t="n">
        <x:v>46282.15152380787</x:v>
      </x:c>
      <x:c r="C4" s="25" t="n">
        <x:v>6</x:v>
      </x:c>
      <x:c r="D4" s="25" t="str">
        <x:v>Legacy</x:v>
      </x:c>
      <x:c r="E4" s="25" t="str">
        <x:v>en</x:v>
      </x:c>
      <x:c r="F4" s="25" t="str">
        <x:v>rider</x:v>
      </x:c>
      <x:c r="G4" s="25" t="str">
        <x:v>Hyderabad</x:v>
      </x:c>
      <x:c r="H4" s="25" t="str">
        <x:v>Hyderabad</x:v>
      </x:c>
      <x:c r="I4" s="25" t="str">
        <x:v>yes</x:v>
      </x:c>
      <x:c r="J4" s="25" t="str">
        <x:v>yes</x:v>
      </x:c>
      <x:c r="K4" s="25" t="n">
        <x:v>1</x:v>
      </x:c>
      <x:c r="L4" s="26" t="str"/>
      <x:c r="M4" s="26" t="str"/>
      <x:c r="N4" s="26" t="str"/>
      <x:c r="O4" s="26" t="str"/>
      <x:c r="P4" s="26" t="str"/>
      <x:c r="Q4" s="26" t="str">
        <x:v>residential</x:v>
      </x:c>
      <x:c r="R4" s="26" t="str">
        <x:v>moved</x:v>
      </x:c>
      <x:c r="S4" s="26" t="str"/>
      <x:c r="T4" s="26" t="str"/>
      <x:c r="U4" s="26" t="str">
        <x:v>called_messaged</x:v>
      </x:c>
      <x:c r="V4" s="26" t="str">
        <x:v>yes</x:v>
      </x:c>
      <x:c r="W4" s="26" t="str"/>
      <x:c r="X4" s="25" t="str">
        <x:v>no</x:v>
      </x:c>
      <x:c r="Y4" s="25" t="str">
        <x:v>Structured only</x:v>
      </x:c>
      <x:c r="Z4" s="25" t="n">
        <x:v>1</x:v>
      </x:c>
      <x:c r="AA4" s="25" t="n">
        <x:v>1</x:v>
      </x:c>
      <x:c r="AB4" s="25" t="n">
        <x:v>0</x:v>
      </x:c>
      <x:c r="AC4" s="25" t="n">
        <x:v>0</x:v>
      </x:c>
      <x:c r="AD4" s="25" t="n">
        <x:v>0</x:v>
      </x:c>
      <x:c r="AE4" s="27" t="n">
        <x:v>0</x:v>
      </x:c>
    </x:row>
    <x:row r="5">
      <x:c r="A5" s="24" t="str">
        <x:v>R007</x:v>
      </x:c>
      <x:c r="B5" s="32" t="n">
        <x:v>46282.16055638889</x:v>
      </x:c>
      <x:c r="C5" s="25" t="n">
        <x:v>7</x:v>
      </x:c>
      <x:c r="D5" s="25" t="str">
        <x:v>Legacy</x:v>
      </x:c>
      <x:c r="E5" s="25" t="str">
        <x:v>en</x:v>
      </x:c>
      <x:c r="F5" s="25" t="str">
        <x:v>rider</x:v>
      </x:c>
      <x:c r="G5" s="25" t="str">
        <x:v>Hyderabad</x:v>
      </x:c>
      <x:c r="H5" s="25" t="str">
        <x:v>Hyderabad</x:v>
      </x:c>
      <x:c r="I5" s="25" t="str">
        <x:v>yes</x:v>
      </x:c>
      <x:c r="J5" s="25" t="str">
        <x:v>yes</x:v>
      </x:c>
      <x:c r="K5" s="25" t="n">
        <x:v>1</x:v>
      </x:c>
      <x:c r="L5" s="26" t="str"/>
      <x:c r="M5" s="26" t="str"/>
      <x:c r="N5" s="26" t="str"/>
      <x:c r="O5" s="26" t="str"/>
      <x:c r="P5" s="26" t="str"/>
      <x:c r="Q5" s="26" t="str">
        <x:v>airport</x:v>
      </x:c>
      <x:c r="R5" s="26" t="str">
        <x:v>called</x:v>
      </x:c>
      <x:c r="S5" s="26" t="str"/>
      <x:c r="T5" s="26" t="str"/>
      <x:c r="U5" s="26" t="str">
        <x:v>called_messaged</x:v>
      </x:c>
      <x:c r="V5" s="26" t="str">
        <x:v>yes</x:v>
      </x:c>
      <x:c r="W5" s="26" t="str"/>
      <x:c r="X5" s="25" t="str">
        <x:v>no</x:v>
      </x:c>
      <x:c r="Y5" s="25" t="str">
        <x:v>Structured only</x:v>
      </x:c>
      <x:c r="Z5" s="25" t="n">
        <x:v>1</x:v>
      </x:c>
      <x:c r="AA5" s="25" t="n">
        <x:v>1</x:v>
      </x:c>
      <x:c r="AB5" s="25" t="n">
        <x:v>0</x:v>
      </x:c>
      <x:c r="AC5" s="25" t="n">
        <x:v>0</x:v>
      </x:c>
      <x:c r="AD5" s="25" t="n">
        <x:v>0</x:v>
      </x:c>
      <x:c r="AE5" s="27" t="n">
        <x:v>0</x:v>
      </x:c>
    </x:row>
    <x:row r="6">
      <x:c r="A6" s="24" t="str">
        <x:v>R008</x:v>
      </x:c>
      <x:c r="B6" s="32" t="n">
        <x:v>46282.161004664355</x:v>
      </x:c>
      <x:c r="C6" s="25" t="n">
        <x:v>8</x:v>
      </x:c>
      <x:c r="D6" s="25" t="str">
        <x:v>Legacy</x:v>
      </x:c>
      <x:c r="E6" s="25" t="str">
        <x:v>en</x:v>
      </x:c>
      <x:c r="F6" s="25" t="str">
        <x:v>rider</x:v>
      </x:c>
      <x:c r="G6" s="25" t="str">
        <x:v>Hyderabad</x:v>
      </x:c>
      <x:c r="H6" s="25" t="str">
        <x:v>Hyderabad</x:v>
      </x:c>
      <x:c r="I6" s="25" t="str">
        <x:v>yes</x:v>
      </x:c>
      <x:c r="J6" s="25" t="str">
        <x:v>no</x:v>
      </x:c>
      <x:c r="K6" s="25" t="n">
        <x:v>0</x:v>
      </x:c>
      <x:c r="L6" s="26" t="str"/>
      <x:c r="M6" s="26" t="str"/>
      <x:c r="N6" s="26" t="str"/>
      <x:c r="O6" s="26" t="str"/>
      <x:c r="P6" s="26" t="str"/>
      <x:c r="Q6" s="26" t="str"/>
      <x:c r="R6" s="26" t="str"/>
      <x:c r="S6" s="26" t="str"/>
      <x:c r="T6" s="26" t="str"/>
      <x:c r="U6" s="26" t="str"/>
      <x:c r="V6" s="26" t="str"/>
      <x:c r="W6" s="26" t="str"/>
      <x:c r="X6" s="25" t="str">
        <x:v>no</x:v>
      </x:c>
      <x:c r="Y6" s="25" t="str">
        <x:v>No issue detail</x:v>
      </x:c>
      <x:c r="Z6" s="25" t="n">
        <x:v>1</x:v>
      </x:c>
      <x:c r="AA6" s="25" t="n">
        <x:v>1</x:v>
      </x:c>
      <x:c r="AB6" s="25" t="n">
        <x:v>0</x:v>
      </x:c>
      <x:c r="AC6" s="25" t="n">
        <x:v>0</x:v>
      </x:c>
      <x:c r="AD6" s="25" t="n">
        <x:v>0</x:v>
      </x:c>
      <x:c r="AE6" s="27" t="n">
        <x:v>0</x:v>
      </x:c>
    </x:row>
    <x:row r="7">
      <x:c r="A7" s="24" t="str">
        <x:v>R009</x:v>
      </x:c>
      <x:c r="B7" s="32" t="n">
        <x:v>46282.16923814815</x:v>
      </x:c>
      <x:c r="C7" s="25" t="n">
        <x:v>9</x:v>
      </x:c>
      <x:c r="D7" s="25" t="str">
        <x:v>Legacy</x:v>
      </x:c>
      <x:c r="E7" s="25" t="str">
        <x:v>en</x:v>
      </x:c>
      <x:c r="F7" s="25" t="str">
        <x:v>rider</x:v>
      </x:c>
      <x:c r="G7" s="25" t="str">
        <x:v>Hyderabad</x:v>
      </x:c>
      <x:c r="H7" s="25" t="str">
        <x:v>Hyderabad</x:v>
      </x:c>
      <x:c r="I7" s="25" t="str">
        <x:v>no</x:v>
      </x:c>
      <x:c r="J7" s="25" t="str">
        <x:v>no</x:v>
      </x:c>
      <x:c r="K7" s="25" t="n">
        <x:v>0</x:v>
      </x:c>
      <x:c r="L7" s="26" t="str"/>
      <x:c r="M7" s="26" t="str"/>
      <x:c r="N7" s="26" t="str"/>
      <x:c r="O7" s="26" t="str"/>
      <x:c r="P7" s="26" t="str"/>
      <x:c r="Q7" s="26" t="str"/>
      <x:c r="R7" s="26" t="str"/>
      <x:c r="S7" s="26" t="str"/>
      <x:c r="T7" s="26" t="str"/>
      <x:c r="U7" s="26" t="str"/>
      <x:c r="V7" s="26" t="str"/>
      <x:c r="W7" s="26" t="str"/>
      <x:c r="X7" s="25" t="str">
        <x:v>yes</x:v>
      </x:c>
      <x:c r="Y7" s="25" t="str">
        <x:v>No issue detail</x:v>
      </x:c>
      <x:c r="Z7" s="25" t="n">
        <x:v>0</x:v>
      </x:c>
      <x:c r="AA7" s="25" t="n">
        <x:v>1</x:v>
      </x:c>
      <x:c r="AB7" s="25" t="n">
        <x:v>0</x:v>
      </x:c>
      <x:c r="AC7" s="25" t="n">
        <x:v>0</x:v>
      </x:c>
      <x:c r="AD7" s="25" t="n">
        <x:v>0</x:v>
      </x:c>
      <x:c r="AE7" s="27" t="n">
        <x:v>0</x:v>
      </x:c>
    </x:row>
    <x:row r="8">
      <x:c r="A8" s="24" t="str">
        <x:v>R010</x:v>
      </x:c>
      <x:c r="B8" s="32" t="n">
        <x:v>46282.17033681713</x:v>
      </x:c>
      <x:c r="C8" s="25" t="n">
        <x:v>10</x:v>
      </x:c>
      <x:c r="D8" s="25" t="str">
        <x:v>Legacy</x:v>
      </x:c>
      <x:c r="E8" s="25" t="str">
        <x:v>en</x:v>
      </x:c>
      <x:c r="F8" s="25" t="str">
        <x:v>rider</x:v>
      </x:c>
      <x:c r="G8" s="25" t="str">
        <x:v>Other</x:v>
      </x:c>
      <x:c r="H8" s="25" t="str">
        <x:v>Bangalore</x:v>
      </x:c>
      <x:c r="I8" s="25" t="str">
        <x:v>yes</x:v>
      </x:c>
      <x:c r="J8" s="25" t="str">
        <x:v>yes</x:v>
      </x:c>
      <x:c r="K8" s="25" t="n">
        <x:v>1</x:v>
      </x:c>
      <x:c r="L8" s="26" t="str"/>
      <x:c r="M8" s="26" t="str"/>
      <x:c r="N8" s="26" t="str"/>
      <x:c r="O8" s="26" t="str"/>
      <x:c r="P8" s="26" t="str"/>
      <x:c r="Q8" s="26" t="str">
        <x:v>mall</x:v>
      </x:c>
      <x:c r="R8" s="26" t="str">
        <x:v>called</x:v>
      </x:c>
      <x:c r="S8" s="26" t="str"/>
      <x:c r="T8" s="26" t="str"/>
      <x:c r="U8" s="26" t="str">
        <x:v>nothing</x:v>
      </x:c>
      <x:c r="V8" s="26" t="str">
        <x:v>yes</x:v>
      </x:c>
      <x:c r="W8" s="26" t="str"/>
      <x:c r="X8" s="25" t="str">
        <x:v>yes</x:v>
      </x:c>
      <x:c r="Y8" s="25" t="str">
        <x:v>Structured only</x:v>
      </x:c>
      <x:c r="Z8" s="25" t="n">
        <x:v>1</x:v>
      </x:c>
      <x:c r="AA8" s="25" t="n">
        <x:v>0</x:v>
      </x:c>
      <x:c r="AB8" s="25" t="n">
        <x:v>0</x:v>
      </x:c>
      <x:c r="AC8" s="25" t="n">
        <x:v>0</x:v>
      </x:c>
      <x:c r="AD8" s="25" t="n">
        <x:v>0</x:v>
      </x:c>
      <x:c r="AE8" s="27" t="n">
        <x:v>0</x:v>
      </x:c>
    </x:row>
    <x:row r="9">
      <x:c r="A9" s="24" t="str">
        <x:v>R011</x:v>
      </x:c>
      <x:c r="B9" s="32" t="n">
        <x:v>46282.17277697917</x:v>
      </x:c>
      <x:c r="C9" s="25" t="n">
        <x:v>11</x:v>
      </x:c>
      <x:c r="D9" s="25" t="str">
        <x:v>Legacy</x:v>
      </x:c>
      <x:c r="E9" s="25" t="str">
        <x:v>en</x:v>
      </x:c>
      <x:c r="F9" s="25" t="str">
        <x:v>rider</x:v>
      </x:c>
      <x:c r="G9" s="25" t="str">
        <x:v>Hyderabad</x:v>
      </x:c>
      <x:c r="H9" s="25" t="str">
        <x:v>Hyderabad</x:v>
      </x:c>
      <x:c r="I9" s="25" t="str">
        <x:v>yes</x:v>
      </x:c>
      <x:c r="J9" s="25" t="str">
        <x:v>yes</x:v>
      </x:c>
      <x:c r="K9" s="25" t="n">
        <x:v>1</x:v>
      </x:c>
      <x:c r="L9" s="26" t="str"/>
      <x:c r="M9" s="26" t="str"/>
      <x:c r="N9" s="26" t="str"/>
      <x:c r="O9" s="26" t="str"/>
      <x:c r="P9" s="26" t="str"/>
      <x:c r="Q9" s="26" t="str">
        <x:v>office</x:v>
      </x:c>
      <x:c r="R9" s="26" t="str">
        <x:v>waited, messaged, called</x:v>
      </x:c>
      <x:c r="S9" s="26" t="str"/>
      <x:c r="T9" s="26" t="str"/>
      <x:c r="U9" s="26" t="str">
        <x:v>landmark, called_messaged</x:v>
      </x:c>
      <x:c r="V9" s="26" t="str">
        <x:v>yes</x:v>
      </x:c>
      <x:c r="W9" s="26" t="str"/>
      <x:c r="X9" s="25" t="str">
        <x:v>yes</x:v>
      </x:c>
      <x:c r="Y9" s="25" t="str">
        <x:v>Structured only</x:v>
      </x:c>
      <x:c r="Z9" s="25" t="n">
        <x:v>1</x:v>
      </x:c>
      <x:c r="AA9" s="25" t="n">
        <x:v>1</x:v>
      </x:c>
      <x:c r="AB9" s="25" t="n">
        <x:v>0</x:v>
      </x:c>
      <x:c r="AC9" s="25" t="n">
        <x:v>0</x:v>
      </x:c>
      <x:c r="AD9" s="25" t="n">
        <x:v>0</x:v>
      </x:c>
      <x:c r="AE9" s="27" t="n">
        <x:v>0</x:v>
      </x:c>
    </x:row>
    <x:row r="10">
      <x:c r="A10" s="24" t="str">
        <x:v>R012</x:v>
      </x:c>
      <x:c r="B10" s="32" t="n">
        <x:v>46282.173833506946</x:v>
      </x:c>
      <x:c r="C10" s="25" t="n">
        <x:v>12</x:v>
      </x:c>
      <x:c r="D10" s="25" t="str">
        <x:v>Legacy</x:v>
      </x:c>
      <x:c r="E10" s="25" t="str">
        <x:v>en</x:v>
      </x:c>
      <x:c r="F10" s="25" t="str">
        <x:v>rider</x:v>
      </x:c>
      <x:c r="G10" s="25" t="str">
        <x:v>Other</x:v>
      </x:c>
      <x:c r="H10" s="25" t="str">
        <x:v>Bangalore</x:v>
      </x:c>
      <x:c r="I10" s="25" t="str">
        <x:v>yes</x:v>
      </x:c>
      <x:c r="J10" s="25" t="str">
        <x:v>no</x:v>
      </x:c>
      <x:c r="K10" s="25" t="n">
        <x:v>0</x:v>
      </x:c>
      <x:c r="L10" s="26" t="str"/>
      <x:c r="M10" s="26" t="str"/>
      <x:c r="N10" s="26" t="str"/>
      <x:c r="O10" s="26" t="str"/>
      <x:c r="P10" s="26" t="str"/>
      <x:c r="Q10" s="26" t="str"/>
      <x:c r="R10" s="26" t="str"/>
      <x:c r="S10" s="26" t="str"/>
      <x:c r="T10" s="26" t="str"/>
      <x:c r="U10" s="26" t="str"/>
      <x:c r="V10" s="26" t="str"/>
      <x:c r="W10" s="26" t="str"/>
      <x:c r="X10" s="25" t="str">
        <x:v>yes</x:v>
      </x:c>
      <x:c r="Y10" s="25" t="str">
        <x:v>No issue detail</x:v>
      </x:c>
      <x:c r="Z10" s="25" t="n">
        <x:v>1</x:v>
      </x:c>
      <x:c r="AA10" s="25" t="n">
        <x:v>0</x:v>
      </x:c>
      <x:c r="AB10" s="25" t="n">
        <x:v>0</x:v>
      </x:c>
      <x:c r="AC10" s="25" t="n">
        <x:v>0</x:v>
      </x:c>
      <x:c r="AD10" s="25" t="n">
        <x:v>0</x:v>
      </x:c>
      <x:c r="AE10" s="27" t="n">
        <x:v>0</x:v>
      </x:c>
    </x:row>
    <x:row r="11">
      <x:c r="A11" s="24" t="str">
        <x:v>R013</x:v>
      </x:c>
      <x:c r="B11" s="32" t="n">
        <x:v>46282.17421592592</x:v>
      </x:c>
      <x:c r="C11" s="25" t="n">
        <x:v>13</x:v>
      </x:c>
      <x:c r="D11" s="25" t="str">
        <x:v>Legacy</x:v>
      </x:c>
      <x:c r="E11" s="25" t="str">
        <x:v>en</x:v>
      </x:c>
      <x:c r="F11" s="25" t="str">
        <x:v>rider</x:v>
      </x:c>
      <x:c r="G11" s="25" t="str">
        <x:v>Other</x:v>
      </x:c>
      <x:c r="H11" s="25" t="str">
        <x:v>Kolkata</x:v>
      </x:c>
      <x:c r="I11" s="25" t="str">
        <x:v>yes</x:v>
      </x:c>
      <x:c r="J11" s="25" t="str">
        <x:v>yes</x:v>
      </x:c>
      <x:c r="K11" s="25" t="n">
        <x:v>1</x:v>
      </x:c>
      <x:c r="L11" s="26" t="str"/>
      <x:c r="M11" s="26" t="str"/>
      <x:c r="N11" s="26" t="str"/>
      <x:c r="O11" s="26" t="str"/>
      <x:c r="P11" s="26" t="str"/>
      <x:c r="Q11" s="26" t="str">
        <x:v>station</x:v>
      </x:c>
      <x:c r="R11" s="26" t="str">
        <x:v>called, cancelled</x:v>
      </x:c>
      <x:c r="S11" s="26" t="str"/>
      <x:c r="T11" s="26" t="str"/>
      <x:c r="U11" s="26" t="str">
        <x:v>called_messaged, nothing</x:v>
      </x:c>
      <x:c r="V11" s="26" t="str">
        <x:v>yes</x:v>
      </x:c>
      <x:c r="W11" s="26" t="str"/>
      <x:c r="X11" s="25" t="str">
        <x:v>yes</x:v>
      </x:c>
      <x:c r="Y11" s="25" t="str">
        <x:v>Structured only</x:v>
      </x:c>
      <x:c r="Z11" s="25" t="n">
        <x:v>1</x:v>
      </x:c>
      <x:c r="AA11" s="25" t="n">
        <x:v>0</x:v>
      </x:c>
      <x:c r="AB11" s="25" t="n">
        <x:v>0</x:v>
      </x:c>
      <x:c r="AC11" s="25" t="n">
        <x:v>0</x:v>
      </x:c>
      <x:c r="AD11" s="25" t="n">
        <x:v>0</x:v>
      </x:c>
      <x:c r="AE11" s="27" t="n">
        <x:v>0</x:v>
      </x:c>
    </x:row>
    <x:row r="12">
      <x:c r="A12" s="24" t="str">
        <x:v>R014</x:v>
      </x:c>
      <x:c r="B12" s="32" t="n">
        <x:v>46282.175485671294</x:v>
      </x:c>
      <x:c r="C12" s="25" t="n">
        <x:v>14</x:v>
      </x:c>
      <x:c r="D12" s="25" t="str">
        <x:v>Legacy</x:v>
      </x:c>
      <x:c r="E12" s="25" t="str">
        <x:v>en</x:v>
      </x:c>
      <x:c r="F12" s="25" t="str">
        <x:v>rider</x:v>
      </x:c>
      <x:c r="G12" s="25" t="str">
        <x:v>Hyderabad</x:v>
      </x:c>
      <x:c r="H12" s="25" t="str">
        <x:v>Hyderabad</x:v>
      </x:c>
      <x:c r="I12" s="25" t="str">
        <x:v>no</x:v>
      </x:c>
      <x:c r="J12" s="25" t="str">
        <x:v>no</x:v>
      </x:c>
      <x:c r="K12" s="25" t="n">
        <x:v>0</x:v>
      </x:c>
      <x:c r="L12" s="26" t="str"/>
      <x:c r="M12" s="26" t="str"/>
      <x:c r="N12" s="26" t="str"/>
      <x:c r="O12" s="26" t="str"/>
      <x:c r="P12" s="26" t="str"/>
      <x:c r="Q12" s="26" t="str"/>
      <x:c r="R12" s="26" t="str"/>
      <x:c r="S12" s="26" t="str"/>
      <x:c r="T12" s="26" t="str"/>
      <x:c r="U12" s="26" t="str"/>
      <x:c r="V12" s="26" t="str"/>
      <x:c r="W12" s="26" t="str">
        <x:v>After calling n asking by the driver the destination... they cancelled the ride... Faced the problem many times especially late hours and peak hours</x:v>
      </x:c>
      <x:c r="X12" s="25" t="str">
        <x:v>yes</x:v>
      </x:c>
      <x:c r="Y12" s="25" t="str">
        <x:v>Context only</x:v>
      </x:c>
      <x:c r="Z12" s="25" t="n">
        <x:v>0</x:v>
      </x:c>
      <x:c r="AA12" s="25" t="n">
        <x:v>1</x:v>
      </x:c>
      <x:c r="AB12" s="25" t="n">
        <x:v>0</x:v>
      </x:c>
      <x:c r="AC12" s="25" t="n">
        <x:v>0</x:v>
      </x:c>
      <x:c r="AD12" s="25" t="n">
        <x:v>0</x:v>
      </x:c>
      <x:c r="AE12" s="27" t="n">
        <x:v>0</x:v>
      </x:c>
    </x:row>
    <x:row r="13">
      <x:c r="A13" s="24" t="str">
        <x:v>R015</x:v>
      </x:c>
      <x:c r="B13" s="32" t="n">
        <x:v>46282.175512581016</x:v>
      </x:c>
      <x:c r="C13" s="25" t="n">
        <x:v>15</x:v>
      </x:c>
      <x:c r="D13" s="25" t="str">
        <x:v>Legacy</x:v>
      </x:c>
      <x:c r="E13" s="25" t="str">
        <x:v>en</x:v>
      </x:c>
      <x:c r="F13" s="25" t="str">
        <x:v>rider</x:v>
      </x:c>
      <x:c r="G13" s="25" t="str">
        <x:v>Hyderabad</x:v>
      </x:c>
      <x:c r="H13" s="25" t="str">
        <x:v>Hyderabad</x:v>
      </x:c>
      <x:c r="I13" s="25" t="str">
        <x:v>no</x:v>
      </x:c>
      <x:c r="J13" s="25" t="str">
        <x:v>yes</x:v>
      </x:c>
      <x:c r="K13" s="25" t="n">
        <x:v>1</x:v>
      </x:c>
      <x:c r="L13" s="26" t="str"/>
      <x:c r="M13" s="26" t="str"/>
      <x:c r="N13" s="26" t="str"/>
      <x:c r="O13" s="26" t="str"/>
      <x:c r="P13" s="26" t="str"/>
      <x:c r="Q13" s="26" t="str">
        <x:v>station</x:v>
      </x:c>
      <x:c r="R13" s="26" t="str">
        <x:v>waited</x:v>
      </x:c>
      <x:c r="S13" s="26" t="str"/>
      <x:c r="T13" s="26" t="str"/>
      <x:c r="U13" s="26" t="str">
        <x:v>called_messaged, landmark</x:v>
      </x:c>
      <x:c r="V13" s="26" t="str">
        <x:v>yes</x:v>
      </x:c>
      <x:c r="W13" s="26" t="str">
        <x:v>No</x:v>
      </x:c>
      <x:c r="X13" s="25" t="str">
        <x:v>no</x:v>
      </x:c>
      <x:c r="Y13" s="25" t="str">
        <x:v>Structured only</x:v>
      </x:c>
      <x:c r="Z13" s="25" t="n">
        <x:v>0</x:v>
      </x:c>
      <x:c r="AA13" s="25" t="n">
        <x:v>1</x:v>
      </x:c>
      <x:c r="AB13" s="25" t="n">
        <x:v>0</x:v>
      </x:c>
      <x:c r="AC13" s="25" t="n">
        <x:v>0</x:v>
      </x:c>
      <x:c r="AD13" s="25" t="n">
        <x:v>0</x:v>
      </x:c>
      <x:c r="AE13" s="27" t="n">
        <x:v>0</x:v>
      </x:c>
    </x:row>
    <x:row r="14">
      <x:c r="A14" s="24" t="str">
        <x:v>R016</x:v>
      </x:c>
      <x:c r="B14" s="32" t="n">
        <x:v>46282.17777689815</x:v>
      </x:c>
      <x:c r="C14" s="25" t="n">
        <x:v>16</x:v>
      </x:c>
      <x:c r="D14" s="25" t="str">
        <x:v>Legacy</x:v>
      </x:c>
      <x:c r="E14" s="25" t="str">
        <x:v>te</x:v>
      </x:c>
      <x:c r="F14" s="25" t="str">
        <x:v>rider</x:v>
      </x:c>
      <x:c r="G14" s="25" t="str">
        <x:v>Other</x:v>
      </x:c>
      <x:c r="H14" s="25" t="str">
        <x:v>VIZAG</x:v>
      </x:c>
      <x:c r="I14" s="25" t="str">
        <x:v>yes</x:v>
      </x:c>
      <x:c r="J14" s="25" t="str">
        <x:v>no</x:v>
      </x:c>
      <x:c r="K14" s="25" t="n">
        <x:v>0</x:v>
      </x:c>
      <x:c r="L14" s="26" t="str"/>
      <x:c r="M14" s="26" t="str"/>
      <x:c r="N14" s="26" t="str"/>
      <x:c r="O14" s="26" t="str"/>
      <x:c r="P14" s="26" t="str"/>
      <x:c r="Q14" s="26" t="str"/>
      <x:c r="R14" s="26" t="str"/>
      <x:c r="S14" s="26" t="str"/>
      <x:c r="T14" s="26" t="str"/>
      <x:c r="U14" s="26" t="str"/>
      <x:c r="V14" s="26" t="str"/>
      <x:c r="W14" s="26" t="str">
        <x:v>NOTHING</x:v>
      </x:c>
      <x:c r="X14" s="25" t="str">
        <x:v>yes</x:v>
      </x:c>
      <x:c r="Y14" s="25" t="str">
        <x:v>No issue detail</x:v>
      </x:c>
      <x:c r="Z14" s="25" t="n">
        <x:v>1</x:v>
      </x:c>
      <x:c r="AA14" s="25" t="n">
        <x:v>0</x:v>
      </x:c>
      <x:c r="AB14" s="25" t="n">
        <x:v>0</x:v>
      </x:c>
      <x:c r="AC14" s="25" t="n">
        <x:v>0</x:v>
      </x:c>
      <x:c r="AD14" s="25" t="n">
        <x:v>0</x:v>
      </x:c>
      <x:c r="AE14" s="27" t="n">
        <x:v>0</x:v>
      </x:c>
    </x:row>
    <x:row r="15">
      <x:c r="A15" s="24" t="str">
        <x:v>R017</x:v>
      </x:c>
      <x:c r="B15" s="32" t="n">
        <x:v>46282.1795927662</x:v>
      </x:c>
      <x:c r="C15" s="25" t="n">
        <x:v>17</x:v>
      </x:c>
      <x:c r="D15" s="25" t="str">
        <x:v>Legacy</x:v>
      </x:c>
      <x:c r="E15" s="25" t="str">
        <x:v>en</x:v>
      </x:c>
      <x:c r="F15" s="25" t="str">
        <x:v>rider</x:v>
      </x:c>
      <x:c r="G15" s="25" t="str">
        <x:v>Other</x:v>
      </x:c>
      <x:c r="H15" s="25" t="str">
        <x:v>Vizag</x:v>
      </x:c>
      <x:c r="I15" s="25" t="str">
        <x:v>yes</x:v>
      </x:c>
      <x:c r="J15" s="25" t="str">
        <x:v>yes</x:v>
      </x:c>
      <x:c r="K15" s="25" t="n">
        <x:v>1</x:v>
      </x:c>
      <x:c r="L15" s="26" t="str"/>
      <x:c r="M15" s="26" t="str"/>
      <x:c r="N15" s="26" t="str"/>
      <x:c r="O15" s="26" t="str"/>
      <x:c r="P15" s="26" t="str"/>
      <x:c r="Q15" s="26" t="str">
        <x:v>airport</x:v>
      </x:c>
      <x:c r="R15" s="26" t="str">
        <x:v>called, moved</x:v>
      </x:c>
      <x:c r="S15" s="26" t="str"/>
      <x:c r="T15" s="26" t="str"/>
      <x:c r="U15" s="26" t="str">
        <x:v>called_messaged</x:v>
      </x:c>
      <x:c r="V15" s="26" t="str">
        <x:v>yes</x:v>
      </x:c>
      <x:c r="W15" s="26" t="str"/>
      <x:c r="X15" s="25" t="str">
        <x:v>yes</x:v>
      </x:c>
      <x:c r="Y15" s="25" t="str">
        <x:v>Structured only</x:v>
      </x:c>
      <x:c r="Z15" s="25" t="n">
        <x:v>1</x:v>
      </x:c>
      <x:c r="AA15" s="25" t="n">
        <x:v>0</x:v>
      </x:c>
      <x:c r="AB15" s="25" t="n">
        <x:v>0</x:v>
      </x:c>
      <x:c r="AC15" s="25" t="n">
        <x:v>0</x:v>
      </x:c>
      <x:c r="AD15" s="25" t="n">
        <x:v>0</x:v>
      </x:c>
      <x:c r="AE15" s="27" t="n">
        <x:v>0</x:v>
      </x:c>
    </x:row>
    <x:row r="16">
      <x:c r="A16" s="24" t="str">
        <x:v>R018</x:v>
      </x:c>
      <x:c r="B16" s="32" t="n">
        <x:v>46282.18016902778</x:v>
      </x:c>
      <x:c r="C16" s="25" t="n">
        <x:v>18</x:v>
      </x:c>
      <x:c r="D16" s="25" t="str">
        <x:v>Legacy</x:v>
      </x:c>
      <x:c r="E16" s="25" t="str">
        <x:v>en</x:v>
      </x:c>
      <x:c r="F16" s="25" t="str">
        <x:v>rider</x:v>
      </x:c>
      <x:c r="G16" s="25" t="str">
        <x:v>Other</x:v>
      </x:c>
      <x:c r="H16" s="25" t="str">
        <x:v>VISAKHAPATNAM</x:v>
      </x:c>
      <x:c r="I16" s="25" t="str">
        <x:v>no</x:v>
      </x:c>
      <x:c r="J16" s="25" t="str">
        <x:v>yes</x:v>
      </x:c>
      <x:c r="K16" s="25" t="n">
        <x:v>1</x:v>
      </x:c>
      <x:c r="L16" s="26" t="str"/>
      <x:c r="M16" s="26" t="str"/>
      <x:c r="N16" s="26" t="str"/>
      <x:c r="O16" s="26" t="str"/>
      <x:c r="P16" s="26" t="str"/>
      <x:c r="Q16" s="26" t="str">
        <x:v>residential</x:v>
      </x:c>
      <x:c r="R16" s="26" t="str">
        <x:v>cancelled</x:v>
      </x:c>
      <x:c r="S16" s="26" t="str"/>
      <x:c r="T16" s="26" t="str"/>
      <x:c r="U16" s="26" t="str">
        <x:v>driver_moved</x:v>
      </x:c>
      <x:c r="V16" s="26" t="str">
        <x:v>yes</x:v>
      </x:c>
      <x:c r="W16" s="26" t="str">
        <x:v>The number of the vehicle mentioned in the app is different from the vehicle carrying us.</x:v>
      </x:c>
      <x:c r="X16" s="25" t="str">
        <x:v>yes</x:v>
      </x:c>
      <x:c r="Y16" s="25" t="str">
        <x:v>Structured only</x:v>
      </x:c>
      <x:c r="Z16" s="25" t="n">
        <x:v>0</x:v>
      </x:c>
      <x:c r="AA16" s="25" t="n">
        <x:v>0</x:v>
      </x:c>
      <x:c r="AB16" s="25" t="n">
        <x:v>0</x:v>
      </x:c>
      <x:c r="AC16" s="25" t="n">
        <x:v>0</x:v>
      </x:c>
      <x:c r="AD16" s="25" t="n">
        <x:v>0</x:v>
      </x:c>
      <x:c r="AE16" s="27" t="n">
        <x:v>0</x:v>
      </x:c>
    </x:row>
    <x:row r="17">
      <x:c r="A17" s="24" t="str">
        <x:v>R019</x:v>
      </x:c>
      <x:c r="B17" s="32" t="n">
        <x:v>46282.181402939816</x:v>
      </x:c>
      <x:c r="C17" s="25" t="n">
        <x:v>19</x:v>
      </x:c>
      <x:c r="D17" s="25" t="str">
        <x:v>Legacy</x:v>
      </x:c>
      <x:c r="E17" s="25" t="str">
        <x:v>en</x:v>
      </x:c>
      <x:c r="F17" s="25" t="str">
        <x:v>rider</x:v>
      </x:c>
      <x:c r="G17" s="25" t="str">
        <x:v>Hyderabad</x:v>
      </x:c>
      <x:c r="H17" s="25" t="str">
        <x:v>Hyderabad</x:v>
      </x:c>
      <x:c r="I17" s="25" t="str">
        <x:v>yes</x:v>
      </x:c>
      <x:c r="J17" s="25" t="str">
        <x:v>yes</x:v>
      </x:c>
      <x:c r="K17" s="25" t="n">
        <x:v>1</x:v>
      </x:c>
      <x:c r="L17" s="26" t="str"/>
      <x:c r="M17" s="26" t="str"/>
      <x:c r="N17" s="26" t="str"/>
      <x:c r="O17" s="26" t="str"/>
      <x:c r="P17" s="26" t="str"/>
      <x:c r="Q17" s="26" t="str">
        <x:v>mall</x:v>
      </x:c>
      <x:c r="R17" s="26" t="str">
        <x:v>moved</x:v>
      </x:c>
      <x:c r="S17" s="26" t="str"/>
      <x:c r="T17" s="26" t="str"/>
      <x:c r="U17" s="26" t="str">
        <x:v>called_messaged</x:v>
      </x:c>
      <x:c r="V17" s="26" t="str">
        <x:v>yes</x:v>
      </x:c>
      <x:c r="W17" s="26" t="str"/>
      <x:c r="X17" s="25" t="str">
        <x:v>no</x:v>
      </x:c>
      <x:c r="Y17" s="25" t="str">
        <x:v>Structured only</x:v>
      </x:c>
      <x:c r="Z17" s="25" t="n">
        <x:v>1</x:v>
      </x:c>
      <x:c r="AA17" s="25" t="n">
        <x:v>1</x:v>
      </x:c>
      <x:c r="AB17" s="25" t="n">
        <x:v>0</x:v>
      </x:c>
      <x:c r="AC17" s="25" t="n">
        <x:v>0</x:v>
      </x:c>
      <x:c r="AD17" s="25" t="n">
        <x:v>0</x:v>
      </x:c>
      <x:c r="AE17" s="27" t="n">
        <x:v>0</x:v>
      </x:c>
    </x:row>
    <x:row r="18">
      <x:c r="A18" s="24" t="str">
        <x:v>R020</x:v>
      </x:c>
      <x:c r="B18" s="32" t="n">
        <x:v>46282.18465668982</x:v>
      </x:c>
      <x:c r="C18" s="25" t="n">
        <x:v>20</x:v>
      </x:c>
      <x:c r="D18" s="25" t="str">
        <x:v>Legacy</x:v>
      </x:c>
      <x:c r="E18" s="25" t="str">
        <x:v>en</x:v>
      </x:c>
      <x:c r="F18" s="25" t="str">
        <x:v>rider</x:v>
      </x:c>
      <x:c r="G18" s="25" t="str">
        <x:v>Hyderabad</x:v>
      </x:c>
      <x:c r="H18" s="25" t="str">
        <x:v>Hyderabad</x:v>
      </x:c>
      <x:c r="I18" s="25" t="str">
        <x:v>yes</x:v>
      </x:c>
      <x:c r="J18" s="25" t="str">
        <x:v>yes</x:v>
      </x:c>
      <x:c r="K18" s="25" t="n">
        <x:v>1</x:v>
      </x:c>
      <x:c r="L18" s="26" t="str"/>
      <x:c r="M18" s="26" t="str"/>
      <x:c r="N18" s="26" t="str"/>
      <x:c r="O18" s="26" t="str"/>
      <x:c r="P18" s="26" t="str"/>
      <x:c r="Q18" s="26" t="str">
        <x:v>office</x:v>
      </x:c>
      <x:c r="R18" s="26" t="str">
        <x:v>called</x:v>
      </x:c>
      <x:c r="S18" s="26" t="str"/>
      <x:c r="T18" s="26" t="str"/>
      <x:c r="U18" s="26" t="str">
        <x:v>called_messaged</x:v>
      </x:c>
      <x:c r="V18" s="26" t="str">
        <x:v>yes</x:v>
      </x:c>
      <x:c r="W18" s="26" t="str"/>
      <x:c r="X18" s="25" t="str">
        <x:v>no</x:v>
      </x:c>
      <x:c r="Y18" s="25" t="str">
        <x:v>Structured only</x:v>
      </x:c>
      <x:c r="Z18" s="25" t="n">
        <x:v>1</x:v>
      </x:c>
      <x:c r="AA18" s="25" t="n">
        <x:v>1</x:v>
      </x:c>
      <x:c r="AB18" s="25" t="n">
        <x:v>0</x:v>
      </x:c>
      <x:c r="AC18" s="25" t="n">
        <x:v>0</x:v>
      </x:c>
      <x:c r="AD18" s="25" t="n">
        <x:v>0</x:v>
      </x:c>
      <x:c r="AE18" s="27" t="n">
        <x:v>0</x:v>
      </x:c>
    </x:row>
    <x:row r="19">
      <x:c r="A19" s="24" t="str">
        <x:v>R021</x:v>
      </x:c>
      <x:c r="B19" s="32" t="n">
        <x:v>46282.18530243055</x:v>
      </x:c>
      <x:c r="C19" s="25" t="n">
        <x:v>21</x:v>
      </x:c>
      <x:c r="D19" s="25" t="str">
        <x:v>Legacy</x:v>
      </x:c>
      <x:c r="E19" s="25" t="str">
        <x:v>en</x:v>
      </x:c>
      <x:c r="F19" s="25" t="str">
        <x:v>rider</x:v>
      </x:c>
      <x:c r="G19" s="25" t="str">
        <x:v>Other</x:v>
      </x:c>
      <x:c r="H19" s="25" t="str">
        <x:v>Kolkata</x:v>
      </x:c>
      <x:c r="I19" s="25" t="str">
        <x:v>yes</x:v>
      </x:c>
      <x:c r="J19" s="25" t="str">
        <x:v>yes</x:v>
      </x:c>
      <x:c r="K19" s="25" t="n">
        <x:v>1</x:v>
      </x:c>
      <x:c r="L19" s="26" t="str"/>
      <x:c r="M19" s="26" t="str"/>
      <x:c r="N19" s="26" t="str"/>
      <x:c r="O19" s="26" t="str"/>
      <x:c r="P19" s="26" t="str"/>
      <x:c r="Q19" s="26" t="str">
        <x:v>office</x:v>
      </x:c>
      <x:c r="R19" s="26" t="str">
        <x:v>called, messaged, moved, waited</x:v>
      </x:c>
      <x:c r="S19" s="26" t="str"/>
      <x:c r="T19" s="26" t="str"/>
      <x:c r="U19" s="26" t="str">
        <x:v>called_messaged, driver_moved, staff, nothing</x:v>
      </x:c>
      <x:c r="V19" s="26" t="str">
        <x:v>yes</x:v>
      </x:c>
      <x:c r="W19" s="26" t="str"/>
      <x:c r="X19" s="25" t="str">
        <x:v>yes</x:v>
      </x:c>
      <x:c r="Y19" s="25" t="str">
        <x:v>Structured only</x:v>
      </x:c>
      <x:c r="Z19" s="25" t="n">
        <x:v>1</x:v>
      </x:c>
      <x:c r="AA19" s="25" t="n">
        <x:v>0</x:v>
      </x:c>
      <x:c r="AB19" s="25" t="n">
        <x:v>0</x:v>
      </x:c>
      <x:c r="AC19" s="25" t="n">
        <x:v>0</x:v>
      </x:c>
      <x:c r="AD19" s="25" t="n">
        <x:v>0</x:v>
      </x:c>
      <x:c r="AE19" s="27" t="n">
        <x:v>0</x:v>
      </x:c>
    </x:row>
    <x:row r="20">
      <x:c r="A20" s="24" t="str">
        <x:v>R022</x:v>
      </x:c>
      <x:c r="B20" s="32" t="n">
        <x:v>46282.188201226854</x:v>
      </x:c>
      <x:c r="C20" s="25" t="n">
        <x:v>22</x:v>
      </x:c>
      <x:c r="D20" s="25" t="str">
        <x:v>Legacy</x:v>
      </x:c>
      <x:c r="E20" s="25" t="str">
        <x:v>en</x:v>
      </x:c>
      <x:c r="F20" s="25" t="str">
        <x:v>rider</x:v>
      </x:c>
      <x:c r="G20" s="25" t="str">
        <x:v>Hyderabad</x:v>
      </x:c>
      <x:c r="H20" s="25" t="str">
        <x:v>Hyderabad</x:v>
      </x:c>
      <x:c r="I20" s="25" t="str">
        <x:v>yes</x:v>
      </x:c>
      <x:c r="J20" s="25" t="str">
        <x:v>no</x:v>
      </x:c>
      <x:c r="K20" s="25" t="n">
        <x:v>0</x:v>
      </x:c>
      <x:c r="L20" s="26" t="str"/>
      <x:c r="M20" s="26" t="str"/>
      <x:c r="N20" s="26" t="str"/>
      <x:c r="O20" s="26" t="str"/>
      <x:c r="P20" s="26" t="str"/>
      <x:c r="Q20" s="26" t="str"/>
      <x:c r="R20" s="26" t="str"/>
      <x:c r="S20" s="26" t="str"/>
      <x:c r="T20" s="26" t="str"/>
      <x:c r="U20" s="26" t="str"/>
      <x:c r="V20" s="26" t="str"/>
      <x:c r="W20" s="26" t="str">
        <x:v>Nothing</x:v>
      </x:c>
      <x:c r="X20" s="25" t="str">
        <x:v>yes</x:v>
      </x:c>
      <x:c r="Y20" s="25" t="str">
        <x:v>No issue detail</x:v>
      </x:c>
      <x:c r="Z20" s="25" t="n">
        <x:v>1</x:v>
      </x:c>
      <x:c r="AA20" s="25" t="n">
        <x:v>1</x:v>
      </x:c>
      <x:c r="AB20" s="25" t="n">
        <x:v>0</x:v>
      </x:c>
      <x:c r="AC20" s="25" t="n">
        <x:v>0</x:v>
      </x:c>
      <x:c r="AD20" s="25" t="n">
        <x:v>0</x:v>
      </x:c>
      <x:c r="AE20" s="27" t="n">
        <x:v>0</x:v>
      </x:c>
    </x:row>
    <x:row r="21">
      <x:c r="A21" s="24" t="str">
        <x:v>R023</x:v>
      </x:c>
      <x:c r="B21" s="32" t="n">
        <x:v>46282.188535</x:v>
      </x:c>
      <x:c r="C21" s="25" t="n">
        <x:v>23</x:v>
      </x:c>
      <x:c r="D21" s="25" t="str">
        <x:v>Legacy</x:v>
      </x:c>
      <x:c r="E21" s="25" t="str">
        <x:v>en</x:v>
      </x:c>
      <x:c r="F21" s="25" t="str">
        <x:v>rider</x:v>
      </x:c>
      <x:c r="G21" s="25" t="str">
        <x:v>Hyderabad</x:v>
      </x:c>
      <x:c r="H21" s="25" t="str">
        <x:v>Hyderabad</x:v>
      </x:c>
      <x:c r="I21" s="25" t="str">
        <x:v>yes</x:v>
      </x:c>
      <x:c r="J21" s="25" t="str">
        <x:v>yes</x:v>
      </x:c>
      <x:c r="K21" s="25" t="n">
        <x:v>1</x:v>
      </x:c>
      <x:c r="L21" s="26" t="str"/>
      <x:c r="M21" s="26" t="str"/>
      <x:c r="N21" s="26" t="str"/>
      <x:c r="O21" s="26" t="str"/>
      <x:c r="P21" s="26" t="str"/>
      <x:c r="Q21" s="26" t="str">
        <x:v>airport, office</x:v>
      </x:c>
      <x:c r="R21" s="26" t="str">
        <x:v>called</x:v>
      </x:c>
      <x:c r="S21" s="26" t="str"/>
      <x:c r="T21" s="26" t="str"/>
      <x:c r="U21" s="26" t="str">
        <x:v>called_messaged</x:v>
      </x:c>
      <x:c r="V21" s="26" t="str">
        <x:v>yes</x:v>
      </x:c>
      <x:c r="W21" s="26" t="str"/>
      <x:c r="X21" s="25" t="str">
        <x:v>no</x:v>
      </x:c>
      <x:c r="Y21" s="25" t="str">
        <x:v>Structured only</x:v>
      </x:c>
      <x:c r="Z21" s="25" t="n">
        <x:v>1</x:v>
      </x:c>
      <x:c r="AA21" s="25" t="n">
        <x:v>1</x:v>
      </x:c>
      <x:c r="AB21" s="25" t="n">
        <x:v>0</x:v>
      </x:c>
      <x:c r="AC21" s="25" t="n">
        <x:v>0</x:v>
      </x:c>
      <x:c r="AD21" s="25" t="n">
        <x:v>0</x:v>
      </x:c>
      <x:c r="AE21" s="27" t="n">
        <x:v>0</x:v>
      </x:c>
    </x:row>
    <x:row r="22">
      <x:c r="A22" s="24" t="str">
        <x:v>R024</x:v>
      </x:c>
      <x:c r="B22" s="32" t="n">
        <x:v>46282.18948706018</x:v>
      </x:c>
      <x:c r="C22" s="25" t="n">
        <x:v>24</x:v>
      </x:c>
      <x:c r="D22" s="25" t="str">
        <x:v>Legacy</x:v>
      </x:c>
      <x:c r="E22" s="25" t="str">
        <x:v>en</x:v>
      </x:c>
      <x:c r="F22" s="25" t="str">
        <x:v>rider</x:v>
      </x:c>
      <x:c r="G22" s="25" t="str">
        <x:v>Hyderabad</x:v>
      </x:c>
      <x:c r="H22" s="25" t="str">
        <x:v>Hyderabad</x:v>
      </x:c>
      <x:c r="I22" s="25" t="str">
        <x:v>yes</x:v>
      </x:c>
      <x:c r="J22" s="25" t="str">
        <x:v>no</x:v>
      </x:c>
      <x:c r="K22" s="25" t="n">
        <x:v>0</x:v>
      </x:c>
      <x:c r="L22" s="26" t="str"/>
      <x:c r="M22" s="26" t="str"/>
      <x:c r="N22" s="26" t="str"/>
      <x:c r="O22" s="26" t="str"/>
      <x:c r="P22" s="26" t="str"/>
      <x:c r="Q22" s="26" t="str"/>
      <x:c r="R22" s="26" t="str"/>
      <x:c r="S22" s="26" t="str"/>
      <x:c r="T22" s="26" t="str"/>
      <x:c r="U22" s="26" t="str"/>
      <x:c r="V22" s="26" t="str"/>
      <x:c r="W22" s="26" t="str"/>
      <x:c r="X22" s="25" t="str">
        <x:v>no</x:v>
      </x:c>
      <x:c r="Y22" s="25" t="str">
        <x:v>No issue detail</x:v>
      </x:c>
      <x:c r="Z22" s="25" t="n">
        <x:v>1</x:v>
      </x:c>
      <x:c r="AA22" s="25" t="n">
        <x:v>1</x:v>
      </x:c>
      <x:c r="AB22" s="25" t="n">
        <x:v>0</x:v>
      </x:c>
      <x:c r="AC22" s="25" t="n">
        <x:v>0</x:v>
      </x:c>
      <x:c r="AD22" s="25" t="n">
        <x:v>0</x:v>
      </x:c>
      <x:c r="AE22" s="27" t="n">
        <x:v>0</x:v>
      </x:c>
    </x:row>
    <x:row r="23">
      <x:c r="A23" s="24" t="str">
        <x:v>R025</x:v>
      </x:c>
      <x:c r="B23" s="32" t="n">
        <x:v>46282.1932196412</x:v>
      </x:c>
      <x:c r="C23" s="25" t="n">
        <x:v>25</x:v>
      </x:c>
      <x:c r="D23" s="25" t="str">
        <x:v>Legacy</x:v>
      </x:c>
      <x:c r="E23" s="25" t="str">
        <x:v>en</x:v>
      </x:c>
      <x:c r="F23" s="25" t="str">
        <x:v>rider</x:v>
      </x:c>
      <x:c r="G23" s="25" t="str">
        <x:v>Other</x:v>
      </x:c>
      <x:c r="H23" s="25" t="str">
        <x:v>Visakhapatnam</x:v>
      </x:c>
      <x:c r="I23" s="25" t="str">
        <x:v>yes</x:v>
      </x:c>
      <x:c r="J23" s="25" t="str">
        <x:v>no</x:v>
      </x:c>
      <x:c r="K23" s="25" t="n">
        <x:v>0</x:v>
      </x:c>
      <x:c r="L23" s="26" t="str"/>
      <x:c r="M23" s="26" t="str"/>
      <x:c r="N23" s="26" t="str"/>
      <x:c r="O23" s="26" t="str"/>
      <x:c r="P23" s="26" t="str"/>
      <x:c r="Q23" s="26" t="str"/>
      <x:c r="R23" s="26" t="str"/>
      <x:c r="S23" s="26" t="str"/>
      <x:c r="T23" s="26" t="str"/>
      <x:c r="U23" s="26" t="str"/>
      <x:c r="V23" s="26" t="str"/>
      <x:c r="W23" s="26" t="str"/>
      <x:c r="X23" s="25" t="str">
        <x:v>no</x:v>
      </x:c>
      <x:c r="Y23" s="25" t="str">
        <x:v>No issue detail</x:v>
      </x:c>
      <x:c r="Z23" s="25" t="n">
        <x:v>1</x:v>
      </x:c>
      <x:c r="AA23" s="25" t="n">
        <x:v>0</x:v>
      </x:c>
      <x:c r="AB23" s="25" t="n">
        <x:v>0</x:v>
      </x:c>
      <x:c r="AC23" s="25" t="n">
        <x:v>0</x:v>
      </x:c>
      <x:c r="AD23" s="25" t="n">
        <x:v>0</x:v>
      </x:c>
      <x:c r="AE23" s="27" t="n">
        <x:v>0</x:v>
      </x:c>
    </x:row>
    <x:row r="24">
      <x:c r="A24" s="24" t="str">
        <x:v>R026</x:v>
      </x:c>
      <x:c r="B24" s="32" t="n">
        <x:v>46282.19609798611</x:v>
      </x:c>
      <x:c r="C24" s="25" t="n">
        <x:v>26</x:v>
      </x:c>
      <x:c r="D24" s="25" t="str">
        <x:v>Legacy</x:v>
      </x:c>
      <x:c r="E24" s="25" t="str">
        <x:v>en</x:v>
      </x:c>
      <x:c r="F24" s="25" t="str">
        <x:v>rider</x:v>
      </x:c>
      <x:c r="G24" s="25" t="str">
        <x:v>Hyderabad</x:v>
      </x:c>
      <x:c r="H24" s="25" t="str">
        <x:v>Hyderabad</x:v>
      </x:c>
      <x:c r="I24" s="25" t="str">
        <x:v>yes</x:v>
      </x:c>
      <x:c r="J24" s="25" t="str">
        <x:v>no</x:v>
      </x:c>
      <x:c r="K24" s="25" t="n">
        <x:v>0</x:v>
      </x:c>
      <x:c r="L24" s="26" t="str"/>
      <x:c r="M24" s="26" t="str"/>
      <x:c r="N24" s="26" t="str"/>
      <x:c r="O24" s="26" t="str"/>
      <x:c r="P24" s="26" t="str"/>
      <x:c r="Q24" s="26" t="str"/>
      <x:c r="R24" s="26" t="str"/>
      <x:c r="S24" s="26" t="str"/>
      <x:c r="T24" s="26" t="str"/>
      <x:c r="U24" s="26" t="str"/>
      <x:c r="V24" s="26" t="str"/>
      <x:c r="W24" s="26" t="str">
        <x:v>No</x:v>
      </x:c>
      <x:c r="X24" s="25" t="str">
        <x:v>yes</x:v>
      </x:c>
      <x:c r="Y24" s="25" t="str">
        <x:v>No issue detail</x:v>
      </x:c>
      <x:c r="Z24" s="25" t="n">
        <x:v>1</x:v>
      </x:c>
      <x:c r="AA24" s="25" t="n">
        <x:v>1</x:v>
      </x:c>
      <x:c r="AB24" s="25" t="n">
        <x:v>0</x:v>
      </x:c>
      <x:c r="AC24" s="25" t="n">
        <x:v>0</x:v>
      </x:c>
      <x:c r="AD24" s="25" t="n">
        <x:v>0</x:v>
      </x:c>
      <x:c r="AE24" s="27" t="n">
        <x:v>0</x:v>
      </x:c>
    </x:row>
    <x:row r="25">
      <x:c r="A25" s="24" t="str">
        <x:v>R027</x:v>
      </x:c>
      <x:c r="B25" s="32" t="n">
        <x:v>46282.19734207176</x:v>
      </x:c>
      <x:c r="C25" s="25" t="n">
        <x:v>27</x:v>
      </x:c>
      <x:c r="D25" s="25" t="str">
        <x:v>Legacy</x:v>
      </x:c>
      <x:c r="E25" s="25" t="str">
        <x:v>en</x:v>
      </x:c>
      <x:c r="F25" s="25" t="str">
        <x:v>rider</x:v>
      </x:c>
      <x:c r="G25" s="25" t="str">
        <x:v>Other</x:v>
      </x:c>
      <x:c r="H25" s="25" t="str">
        <x:v>Kolkata</x:v>
      </x:c>
      <x:c r="I25" s="25" t="str">
        <x:v>yes</x:v>
      </x:c>
      <x:c r="J25" s="25" t="str">
        <x:v>yes</x:v>
      </x:c>
      <x:c r="K25" s="25" t="n">
        <x:v>1</x:v>
      </x:c>
      <x:c r="L25" s="26" t="str"/>
      <x:c r="M25" s="26" t="str"/>
      <x:c r="N25" s="26" t="str"/>
      <x:c r="O25" s="26" t="str"/>
      <x:c r="P25" s="26" t="str"/>
      <x:c r="Q25" s="26" t="str">
        <x:v>station</x:v>
      </x:c>
      <x:c r="R25" s="26" t="str">
        <x:v>cancelled</x:v>
      </x:c>
      <x:c r="S25" s="26" t="str"/>
      <x:c r="T25" s="26" t="str"/>
      <x:c r="U25" s="26" t="str">
        <x:v>called_messaged</x:v>
      </x:c>
      <x:c r="V25" s="26" t="str">
        <x:v>yes</x:v>
      </x:c>
      <x:c r="W25" s="26" t="str">
        <x:v>I found Uber to be a better option than Ola</x:v>
      </x:c>
      <x:c r="X25" s="25" t="str">
        <x:v>yes</x:v>
      </x:c>
      <x:c r="Y25" s="25" t="str">
        <x:v>Structured only</x:v>
      </x:c>
      <x:c r="Z25" s="25" t="n">
        <x:v>1</x:v>
      </x:c>
      <x:c r="AA25" s="25" t="n">
        <x:v>0</x:v>
      </x:c>
      <x:c r="AB25" s="25" t="n">
        <x:v>0</x:v>
      </x:c>
      <x:c r="AC25" s="25" t="n">
        <x:v>0</x:v>
      </x:c>
      <x:c r="AD25" s="25" t="n">
        <x:v>0</x:v>
      </x:c>
      <x:c r="AE25" s="27" t="n">
        <x:v>0</x:v>
      </x:c>
    </x:row>
    <x:row r="26">
      <x:c r="A26" s="24" t="str">
        <x:v>R028</x:v>
      </x:c>
      <x:c r="B26" s="32" t="n">
        <x:v>46282.197824097224</x:v>
      </x:c>
      <x:c r="C26" s="25" t="n">
        <x:v>28</x:v>
      </x:c>
      <x:c r="D26" s="25" t="str">
        <x:v>Legacy</x:v>
      </x:c>
      <x:c r="E26" s="25" t="str">
        <x:v>en</x:v>
      </x:c>
      <x:c r="F26" s="25" t="str">
        <x:v>rider</x:v>
      </x:c>
      <x:c r="G26" s="25" t="str">
        <x:v>Other</x:v>
      </x:c>
      <x:c r="H26" s="25" t="str">
        <x:v>Visakhapatnam</x:v>
      </x:c>
      <x:c r="I26" s="25" t="str">
        <x:v>yes</x:v>
      </x:c>
      <x:c r="J26" s="25" t="str">
        <x:v>no</x:v>
      </x:c>
      <x:c r="K26" s="25" t="n">
        <x:v>0</x:v>
      </x:c>
      <x:c r="L26" s="26" t="str"/>
      <x:c r="M26" s="26" t="str"/>
      <x:c r="N26" s="26" t="str"/>
      <x:c r="O26" s="26" t="str"/>
      <x:c r="P26" s="26" t="str"/>
      <x:c r="Q26" s="26" t="str"/>
      <x:c r="R26" s="26" t="str"/>
      <x:c r="S26" s="26" t="str"/>
      <x:c r="T26" s="26" t="str"/>
      <x:c r="U26" s="26" t="str"/>
      <x:c r="V26" s="26" t="str"/>
      <x:c r="W26" s="26" t="str">
        <x:v>Most of the cars are not hygiene.  Riders who wish a hygiene vehicle are even forced to book Premium car which charges higher rate. Uber is not controlling this mafia. Its the prerequisite for the operator to maintain car in good condition all times</x:v>
      </x:c>
      <x:c r="X26" s="25" t="str">
        <x:v>yes</x:v>
      </x:c>
      <x:c r="Y26" s="25" t="str">
        <x:v>Context only</x:v>
      </x:c>
      <x:c r="Z26" s="25" t="n">
        <x:v>1</x:v>
      </x:c>
      <x:c r="AA26" s="25" t="n">
        <x:v>0</x:v>
      </x:c>
      <x:c r="AB26" s="25" t="n">
        <x:v>0</x:v>
      </x:c>
      <x:c r="AC26" s="25" t="n">
        <x:v>0</x:v>
      </x:c>
      <x:c r="AD26" s="25" t="n">
        <x:v>0</x:v>
      </x:c>
      <x:c r="AE26" s="27" t="n">
        <x:v>0</x:v>
      </x:c>
    </x:row>
    <x:row r="27">
      <x:c r="A27" s="24" t="str">
        <x:v>R029</x:v>
      </x:c>
      <x:c r="B27" s="32" t="n">
        <x:v>46282.198988703705</x:v>
      </x:c>
      <x:c r="C27" s="25" t="n">
        <x:v>29</x:v>
      </x:c>
      <x:c r="D27" s="25" t="str">
        <x:v>Legacy</x:v>
      </x:c>
      <x:c r="E27" s="25" t="str">
        <x:v>en</x:v>
      </x:c>
      <x:c r="F27" s="25" t="str">
        <x:v>rider</x:v>
      </x:c>
      <x:c r="G27" s="25" t="str">
        <x:v>Hyderabad</x:v>
      </x:c>
      <x:c r="H27" s="25" t="str">
        <x:v>Hyderabad</x:v>
      </x:c>
      <x:c r="I27" s="25" t="str">
        <x:v>yes</x:v>
      </x:c>
      <x:c r="J27" s="25" t="str">
        <x:v>yes</x:v>
      </x:c>
      <x:c r="K27" s="25" t="n">
        <x:v>1</x:v>
      </x:c>
      <x:c r="L27" s="26" t="str"/>
      <x:c r="M27" s="26" t="str"/>
      <x:c r="N27" s="26" t="str"/>
      <x:c r="O27" s="26" t="str"/>
      <x:c r="P27" s="26" t="str"/>
      <x:c r="Q27" s="26" t="str">
        <x:v>airport</x:v>
      </x:c>
      <x:c r="R27" s="26" t="str">
        <x:v>called</x:v>
      </x:c>
      <x:c r="S27" s="26" t="str"/>
      <x:c r="T27" s="26" t="str"/>
      <x:c r="U27" s="26" t="str">
        <x:v>called_messaged</x:v>
      </x:c>
      <x:c r="V27" s="26" t="str">
        <x:v>yes</x:v>
      </x:c>
      <x:c r="W27" s="26" t="str"/>
      <x:c r="X27" s="25" t="str">
        <x:v>no</x:v>
      </x:c>
      <x:c r="Y27" s="25" t="str">
        <x:v>Structured only</x:v>
      </x:c>
      <x:c r="Z27" s="25" t="n">
        <x:v>1</x:v>
      </x:c>
      <x:c r="AA27" s="25" t="n">
        <x:v>1</x:v>
      </x:c>
      <x:c r="AB27" s="25" t="n">
        <x:v>0</x:v>
      </x:c>
      <x:c r="AC27" s="25" t="n">
        <x:v>0</x:v>
      </x:c>
      <x:c r="AD27" s="25" t="n">
        <x:v>0</x:v>
      </x:c>
      <x:c r="AE27" s="27" t="n">
        <x:v>0</x:v>
      </x:c>
    </x:row>
    <x:row r="28">
      <x:c r="A28" s="24" t="str">
        <x:v>R030</x:v>
      </x:c>
      <x:c r="B28" s="32" t="n">
        <x:v>46282.200011493056</x:v>
      </x:c>
      <x:c r="C28" s="25" t="n">
        <x:v>30</x:v>
      </x:c>
      <x:c r="D28" s="25" t="str">
        <x:v>Legacy</x:v>
      </x:c>
      <x:c r="E28" s="25" t="str">
        <x:v>en</x:v>
      </x:c>
      <x:c r="F28" s="25" t="str">
        <x:v>rider</x:v>
      </x:c>
      <x:c r="G28" s="25" t="str">
        <x:v>Other</x:v>
      </x:c>
      <x:c r="H28" s="25" t="str">
        <x:v>Benguluru, Delhi, Hyderabad</x:v>
      </x:c>
      <x:c r="I28" s="25" t="str">
        <x:v>no</x:v>
      </x:c>
      <x:c r="J28" s="25" t="str">
        <x:v>yes</x:v>
      </x:c>
      <x:c r="K28" s="25" t="n">
        <x:v>1</x:v>
      </x:c>
      <x:c r="L28" s="26" t="str"/>
      <x:c r="M28" s="26" t="str"/>
      <x:c r="N28" s="26" t="str"/>
      <x:c r="O28" s="26" t="str"/>
      <x:c r="P28" s="26" t="str"/>
      <x:c r="Q28" s="26" t="str">
        <x:v>hotel, airport, street</x:v>
      </x:c>
      <x:c r="R28" s="26" t="str">
        <x:v>called, waited, cancelled, moved</x:v>
      </x:c>
      <x:c r="S28" s="26" t="str"/>
      <x:c r="T28" s="26" t="str"/>
      <x:c r="U28" s="26" t="str">
        <x:v>landmark, called_messaged</x:v>
      </x:c>
      <x:c r="V28" s="26" t="str">
        <x:v>yes</x:v>
      </x:c>
      <x:c r="W28" s="26" t="str">
        <x:v>On the whole the experience is good. Exceptions will always be there.</x:v>
      </x:c>
      <x:c r="X28" s="25" t="str">
        <x:v>no</x:v>
      </x:c>
      <x:c r="Y28" s="25" t="str">
        <x:v>Structured only</x:v>
      </x:c>
      <x:c r="Z28" s="25" t="n">
        <x:v>0</x:v>
      </x:c>
      <x:c r="AA28" s="25" t="n">
        <x:v>0</x:v>
      </x:c>
      <x:c r="AB28" s="25" t="n">
        <x:v>0</x:v>
      </x:c>
      <x:c r="AC28" s="25" t="n">
        <x:v>0</x:v>
      </x:c>
      <x:c r="AD28" s="25" t="n">
        <x:v>0</x:v>
      </x:c>
      <x:c r="AE28" s="27" t="n">
        <x:v>0</x:v>
      </x:c>
    </x:row>
    <x:row r="29">
      <x:c r="A29" s="24" t="str">
        <x:v>R031</x:v>
      </x:c>
      <x:c r="B29" s="32" t="n">
        <x:v>46282.20037613426</x:v>
      </x:c>
      <x:c r="C29" s="25" t="n">
        <x:v>31</x:v>
      </x:c>
      <x:c r="D29" s="25" t="str">
        <x:v>Legacy</x:v>
      </x:c>
      <x:c r="E29" s="25" t="str">
        <x:v>en</x:v>
      </x:c>
      <x:c r="F29" s="25" t="str">
        <x:v>rider</x:v>
      </x:c>
      <x:c r="G29" s="25" t="str">
        <x:v>Other</x:v>
      </x:c>
      <x:c r="H29" s="25" t="str">
        <x:v>Other / not specified</x:v>
      </x:c>
      <x:c r="I29" s="25" t="str">
        <x:v>yes</x:v>
      </x:c>
      <x:c r="J29" s="25" t="str">
        <x:v>no</x:v>
      </x:c>
      <x:c r="K29" s="25" t="n">
        <x:v>0</x:v>
      </x:c>
      <x:c r="L29" s="26" t="str"/>
      <x:c r="M29" s="26" t="str"/>
      <x:c r="N29" s="26" t="str"/>
      <x:c r="O29" s="26" t="str"/>
      <x:c r="P29" s="26" t="str"/>
      <x:c r="Q29" s="26" t="str"/>
      <x:c r="R29" s="26" t="str"/>
      <x:c r="S29" s="26" t="str"/>
      <x:c r="T29" s="26" t="str"/>
      <x:c r="U29" s="26" t="str"/>
      <x:c r="V29" s="26" t="str"/>
      <x:c r="W29" s="26" t="str">
        <x:v>Once an overcharging incident by not going to the destination occured at Hyderabad</x:v>
      </x:c>
      <x:c r="X29" s="25" t="str">
        <x:v>yes</x:v>
      </x:c>
      <x:c r="Y29" s="25" t="str">
        <x:v>Context only</x:v>
      </x:c>
      <x:c r="Z29" s="25" t="n">
        <x:v>1</x:v>
      </x:c>
      <x:c r="AA29" s="25" t="n">
        <x:v>0</x:v>
      </x:c>
      <x:c r="AB29" s="25" t="n">
        <x:v>0</x:v>
      </x:c>
      <x:c r="AC29" s="25" t="n">
        <x:v>0</x:v>
      </x:c>
      <x:c r="AD29" s="25" t="n">
        <x:v>0</x:v>
      </x:c>
      <x:c r="AE29" s="27" t="n">
        <x:v>0</x:v>
      </x:c>
    </x:row>
    <x:row r="30">
      <x:c r="A30" s="24" t="str">
        <x:v>R032</x:v>
      </x:c>
      <x:c r="B30" s="32" t="n">
        <x:v>46282.200483622684</x:v>
      </x:c>
      <x:c r="C30" s="25" t="n">
        <x:v>32</x:v>
      </x:c>
      <x:c r="D30" s="25" t="str">
        <x:v>Legacy</x:v>
      </x:c>
      <x:c r="E30" s="25" t="str">
        <x:v>en</x:v>
      </x:c>
      <x:c r="F30" s="25" t="str">
        <x:v>rider</x:v>
      </x:c>
      <x:c r="G30" s="25" t="str">
        <x:v>Other</x:v>
      </x:c>
      <x:c r="H30" s="25" t="str">
        <x:v>Other / not specified</x:v>
      </x:c>
      <x:c r="I30" s="25" t="str">
        <x:v>yes</x:v>
      </x:c>
      <x:c r="J30" s="25" t="str">
        <x:v>no</x:v>
      </x:c>
      <x:c r="K30" s="25" t="n">
        <x:v>0</x:v>
      </x:c>
      <x:c r="L30" s="26" t="str"/>
      <x:c r="M30" s="26" t="str"/>
      <x:c r="N30" s="26" t="str"/>
      <x:c r="O30" s="26" t="str"/>
      <x:c r="P30" s="26" t="str"/>
      <x:c r="Q30" s="26" t="str"/>
      <x:c r="R30" s="26" t="str"/>
      <x:c r="S30" s="26" t="str"/>
      <x:c r="T30" s="26" t="str"/>
      <x:c r="U30" s="26" t="str"/>
      <x:c r="V30" s="26" t="str"/>
      <x:c r="W30" s="26" t="str">
        <x:v>Once an overcharging incident by not going to the destination occured at Hyderabad</x:v>
      </x:c>
      <x:c r="X30" s="25" t="str">
        <x:v>yes</x:v>
      </x:c>
      <x:c r="Y30" s="25" t="str">
        <x:v>Context only</x:v>
      </x:c>
      <x:c r="Z30" s="25" t="n">
        <x:v>1</x:v>
      </x:c>
      <x:c r="AA30" s="25" t="n">
        <x:v>0</x:v>
      </x:c>
      <x:c r="AB30" s="25" t="n">
        <x:v>0</x:v>
      </x:c>
      <x:c r="AC30" s="25" t="n">
        <x:v>0</x:v>
      </x:c>
      <x:c r="AD30" s="25" t="n">
        <x:v>0</x:v>
      </x:c>
      <x:c r="AE30" s="27" t="n">
        <x:v>0</x:v>
      </x:c>
    </x:row>
    <x:row r="31">
      <x:c r="A31" s="24" t="str">
        <x:v>R033</x:v>
      </x:c>
      <x:c r="B31" s="32" t="n">
        <x:v>46282.201843310184</x:v>
      </x:c>
      <x:c r="C31" s="25" t="n">
        <x:v>33</x:v>
      </x:c>
      <x:c r="D31" s="25" t="str">
        <x:v>Legacy</x:v>
      </x:c>
      <x:c r="E31" s="25" t="str">
        <x:v>en</x:v>
      </x:c>
      <x:c r="F31" s="25" t="str">
        <x:v>rider</x:v>
      </x:c>
      <x:c r="G31" s="25" t="str">
        <x:v>Hyderabad</x:v>
      </x:c>
      <x:c r="H31" s="25" t="str">
        <x:v>Hyderabad</x:v>
      </x:c>
      <x:c r="I31" s="25" t="str">
        <x:v>yes</x:v>
      </x:c>
      <x:c r="J31" s="25" t="str">
        <x:v>no</x:v>
      </x:c>
      <x:c r="K31" s="25" t="n">
        <x:v>0</x:v>
      </x:c>
      <x:c r="L31" s="26" t="str"/>
      <x:c r="M31" s="26" t="str"/>
      <x:c r="N31" s="26" t="str"/>
      <x:c r="O31" s="26" t="str"/>
      <x:c r="P31" s="26" t="str"/>
      <x:c r="Q31" s="26" t="str"/>
      <x:c r="R31" s="26" t="str"/>
      <x:c r="S31" s="26" t="str"/>
      <x:c r="T31" s="26" t="str"/>
      <x:c r="U31" s="26" t="str"/>
      <x:c r="V31" s="26" t="str"/>
      <x:c r="W31" s="26" t="str">
        <x:v>No</x:v>
      </x:c>
      <x:c r="X31" s="25" t="str">
        <x:v>no</x:v>
      </x:c>
      <x:c r="Y31" s="25" t="str">
        <x:v>No issue detail</x:v>
      </x:c>
      <x:c r="Z31" s="25" t="n">
        <x:v>1</x:v>
      </x:c>
      <x:c r="AA31" s="25" t="n">
        <x:v>1</x:v>
      </x:c>
      <x:c r="AB31" s="25" t="n">
        <x:v>0</x:v>
      </x:c>
      <x:c r="AC31" s="25" t="n">
        <x:v>0</x:v>
      </x:c>
      <x:c r="AD31" s="25" t="n">
        <x:v>0</x:v>
      </x:c>
      <x:c r="AE31" s="27" t="n">
        <x:v>0</x:v>
      </x:c>
    </x:row>
    <x:row r="32">
      <x:c r="A32" s="24" t="str">
        <x:v>R034</x:v>
      </x:c>
      <x:c r="B32" s="32" t="n">
        <x:v>46282.20329857639</x:v>
      </x:c>
      <x:c r="C32" s="25" t="n">
        <x:v>34</x:v>
      </x:c>
      <x:c r="D32" s="25" t="str">
        <x:v>Legacy</x:v>
      </x:c>
      <x:c r="E32" s="25" t="str">
        <x:v>en</x:v>
      </x:c>
      <x:c r="F32" s="25" t="str">
        <x:v>rider</x:v>
      </x:c>
      <x:c r="G32" s="25" t="str">
        <x:v>Other</x:v>
      </x:c>
      <x:c r="H32" s="25" t="str">
        <x:v>Visakhapatnam</x:v>
      </x:c>
      <x:c r="I32" s="25" t="str">
        <x:v>no</x:v>
      </x:c>
      <x:c r="J32" s="25" t="str">
        <x:v>no</x:v>
      </x:c>
      <x:c r="K32" s="25" t="n">
        <x:v>0</x:v>
      </x:c>
      <x:c r="L32" s="26" t="str"/>
      <x:c r="M32" s="26" t="str"/>
      <x:c r="N32" s="26" t="str"/>
      <x:c r="O32" s="26" t="str"/>
      <x:c r="P32" s="26" t="str"/>
      <x:c r="Q32" s="26" t="str"/>
      <x:c r="R32" s="26" t="str"/>
      <x:c r="S32" s="26" t="str"/>
      <x:c r="T32" s="26" t="str"/>
      <x:c r="U32" s="26" t="str"/>
      <x:c r="V32" s="26" t="str"/>
      <x:c r="W32" s="26" t="str">
        <x:v>Prices are high. So prefering rapido most of the time</x:v>
      </x:c>
      <x:c r="X32" s="25" t="str">
        <x:v>no</x:v>
      </x:c>
      <x:c r="Y32" s="25" t="str">
        <x:v>Context only</x:v>
      </x:c>
      <x:c r="Z32" s="25" t="n">
        <x:v>0</x:v>
      </x:c>
      <x:c r="AA32" s="25" t="n">
        <x:v>0</x:v>
      </x:c>
      <x:c r="AB32" s="25" t="n">
        <x:v>0</x:v>
      </x:c>
      <x:c r="AC32" s="25" t="n">
        <x:v>0</x:v>
      </x:c>
      <x:c r="AD32" s="25" t="n">
        <x:v>0</x:v>
      </x:c>
      <x:c r="AE32" s="27" t="n">
        <x:v>0</x:v>
      </x:c>
    </x:row>
    <x:row r="33">
      <x:c r="A33" s="24" t="str">
        <x:v>R035</x:v>
      </x:c>
      <x:c r="B33" s="32" t="n">
        <x:v>46282.20502178241</x:v>
      </x:c>
      <x:c r="C33" s="25" t="n">
        <x:v>35</x:v>
      </x:c>
      <x:c r="D33" s="25" t="str">
        <x:v>Legacy</x:v>
      </x:c>
      <x:c r="E33" s="25" t="str">
        <x:v>en</x:v>
      </x:c>
      <x:c r="F33" s="25" t="str">
        <x:v>rider</x:v>
      </x:c>
      <x:c r="G33" s="25" t="str">
        <x:v>Other</x:v>
      </x:c>
      <x:c r="H33" s="25" t="str">
        <x:v>Bangalore</x:v>
      </x:c>
      <x:c r="I33" s="25" t="str">
        <x:v>yes</x:v>
      </x:c>
      <x:c r="J33" s="25" t="str">
        <x:v>no</x:v>
      </x:c>
      <x:c r="K33" s="25" t="n">
        <x:v>0</x:v>
      </x:c>
      <x:c r="L33" s="26" t="str"/>
      <x:c r="M33" s="26" t="str"/>
      <x:c r="N33" s="26" t="str"/>
      <x:c r="O33" s="26" t="str"/>
      <x:c r="P33" s="26" t="str"/>
      <x:c r="Q33" s="26" t="str"/>
      <x:c r="R33" s="26" t="str"/>
      <x:c r="S33" s="26" t="str"/>
      <x:c r="T33" s="26" t="str"/>
      <x:c r="U33" s="26" t="str"/>
      <x:c r="V33" s="26" t="str"/>
      <x:c r="W33" s="26" t="str"/>
      <x:c r="X33" s="25" t="str">
        <x:v>yes</x:v>
      </x:c>
      <x:c r="Y33" s="25" t="str">
        <x:v>No issue detail</x:v>
      </x:c>
      <x:c r="Z33" s="25" t="n">
        <x:v>1</x:v>
      </x:c>
      <x:c r="AA33" s="25" t="n">
        <x:v>0</x:v>
      </x:c>
      <x:c r="AB33" s="25" t="n">
        <x:v>0</x:v>
      </x:c>
      <x:c r="AC33" s="25" t="n">
        <x:v>0</x:v>
      </x:c>
      <x:c r="AD33" s="25" t="n">
        <x:v>0</x:v>
      </x:c>
      <x:c r="AE33" s="27" t="n">
        <x:v>0</x:v>
      </x:c>
    </x:row>
    <x:row r="34">
      <x:c r="A34" s="24" t="str">
        <x:v>R036</x:v>
      </x:c>
      <x:c r="B34" s="32" t="n">
        <x:v>46282.206287685185</x:v>
      </x:c>
      <x:c r="C34" s="25" t="n">
        <x:v>36</x:v>
      </x:c>
      <x:c r="D34" s="25" t="str">
        <x:v>Legacy</x:v>
      </x:c>
      <x:c r="E34" s="25" t="str">
        <x:v>en</x:v>
      </x:c>
      <x:c r="F34" s="25" t="str">
        <x:v>rider</x:v>
      </x:c>
      <x:c r="G34" s="25" t="str">
        <x:v>Other</x:v>
      </x:c>
      <x:c r="H34" s="25" t="str">
        <x:v>Bangalore</x:v>
      </x:c>
      <x:c r="I34" s="25" t="str">
        <x:v>yes</x:v>
      </x:c>
      <x:c r="J34" s="25" t="str">
        <x:v>no</x:v>
      </x:c>
      <x:c r="K34" s="25" t="n">
        <x:v>0</x:v>
      </x:c>
      <x:c r="L34" s="26" t="str"/>
      <x:c r="M34" s="26" t="str"/>
      <x:c r="N34" s="26" t="str"/>
      <x:c r="O34" s="26" t="str"/>
      <x:c r="P34" s="26" t="str"/>
      <x:c r="Q34" s="26" t="str"/>
      <x:c r="R34" s="26" t="str"/>
      <x:c r="S34" s="26" t="str"/>
      <x:c r="T34" s="26" t="str"/>
      <x:c r="U34" s="26" t="str"/>
      <x:c r="V34" s="26" t="str"/>
      <x:c r="W34" s="26" t="str"/>
      <x:c r="X34" s="25" t="str">
        <x:v>yes</x:v>
      </x:c>
      <x:c r="Y34" s="25" t="str">
        <x:v>No issue detail</x:v>
      </x:c>
      <x:c r="Z34" s="25" t="n">
        <x:v>1</x:v>
      </x:c>
      <x:c r="AA34" s="25" t="n">
        <x:v>0</x:v>
      </x:c>
      <x:c r="AB34" s="25" t="n">
        <x:v>0</x:v>
      </x:c>
      <x:c r="AC34" s="25" t="n">
        <x:v>0</x:v>
      </x:c>
      <x:c r="AD34" s="25" t="n">
        <x:v>0</x:v>
      </x:c>
      <x:c r="AE34" s="27" t="n">
        <x:v>0</x:v>
      </x:c>
    </x:row>
    <x:row r="35">
      <x:c r="A35" s="24" t="str">
        <x:v>R037</x:v>
      </x:c>
      <x:c r="B35" s="32" t="n">
        <x:v>46282.20901965278</x:v>
      </x:c>
      <x:c r="C35" s="25" t="n">
        <x:v>37</x:v>
      </x:c>
      <x:c r="D35" s="25" t="str">
        <x:v>Legacy</x:v>
      </x:c>
      <x:c r="E35" s="25" t="str">
        <x:v>en</x:v>
      </x:c>
      <x:c r="F35" s="25" t="str">
        <x:v>driver</x:v>
      </x:c>
      <x:c r="G35" s="25" t="str">
        <x:v>Hyderabad</x:v>
      </x:c>
      <x:c r="H35" s="25" t="str">
        <x:v>Hyderabad</x:v>
      </x:c>
      <x:c r="I35" s="25" t="str">
        <x:v>yes</x:v>
      </x:c>
      <x:c r="J35" s="25" t="str">
        <x:v>no</x:v>
      </x:c>
      <x:c r="K35" s="25" t="n">
        <x:v>0</x:v>
      </x:c>
      <x:c r="L35" s="26" t="str"/>
      <x:c r="M35" s="26" t="str"/>
      <x:c r="N35" s="26" t="str"/>
      <x:c r="O35" s="26" t="str"/>
      <x:c r="P35" s="26" t="str"/>
      <x:c r="Q35" s="26" t="str"/>
      <x:c r="R35" s="26" t="str"/>
      <x:c r="S35" s="26" t="str"/>
      <x:c r="T35" s="26" t="str"/>
      <x:c r="U35" s="26" t="str"/>
      <x:c r="V35" s="26" t="str"/>
      <x:c r="W35" s="26" t="str"/>
      <x:c r="X35" s="25" t="str">
        <x:v>no</x:v>
      </x:c>
      <x:c r="Y35" s="25" t="str">
        <x:v>No issue detail</x:v>
      </x:c>
      <x:c r="Z35" s="25" t="n">
        <x:v>1</x:v>
      </x:c>
      <x:c r="AA35" s="25" t="n">
        <x:v>1</x:v>
      </x:c>
      <x:c r="AB35" s="25" t="n">
        <x:v>0</x:v>
      </x:c>
      <x:c r="AC35" s="25" t="n">
        <x:v>0</x:v>
      </x:c>
      <x:c r="AD35" s="25" t="n">
        <x:v>0</x:v>
      </x:c>
      <x:c r="AE35" s="27" t="n">
        <x:v>0</x:v>
      </x:c>
    </x:row>
    <x:row r="36">
      <x:c r="A36" s="24" t="str">
        <x:v>R038</x:v>
      </x:c>
      <x:c r="B36" s="32" t="n">
        <x:v>46282.21165704861</x:v>
      </x:c>
      <x:c r="C36" s="25" t="n">
        <x:v>38</x:v>
      </x:c>
      <x:c r="D36" s="25" t="str">
        <x:v>Legacy</x:v>
      </x:c>
      <x:c r="E36" s="25" t="str">
        <x:v>en</x:v>
      </x:c>
      <x:c r="F36" s="25" t="str">
        <x:v>rider</x:v>
      </x:c>
      <x:c r="G36" s="25" t="str">
        <x:v>Hyderabad</x:v>
      </x:c>
      <x:c r="H36" s="25" t="str">
        <x:v>Hyderabad</x:v>
      </x:c>
      <x:c r="I36" s="25" t="str">
        <x:v>no</x:v>
      </x:c>
      <x:c r="J36" s="25" t="str">
        <x:v>no</x:v>
      </x:c>
      <x:c r="K36" s="25" t="n">
        <x:v>0</x:v>
      </x:c>
      <x:c r="L36" s="26" t="str"/>
      <x:c r="M36" s="26" t="str"/>
      <x:c r="N36" s="26" t="str"/>
      <x:c r="O36" s="26" t="str"/>
      <x:c r="P36" s="26" t="str"/>
      <x:c r="Q36" s="26" t="str"/>
      <x:c r="R36" s="26" t="str"/>
      <x:c r="S36" s="26" t="str"/>
      <x:c r="T36" s="26" t="str"/>
      <x:c r="U36" s="26" t="str"/>
      <x:c r="V36" s="26" t="str"/>
      <x:c r="W36" s="26" t="str">
        <x:v>No not much</x:v>
      </x:c>
      <x:c r="X36" s="25" t="str">
        <x:v>no</x:v>
      </x:c>
      <x:c r="Y36" s="25" t="str">
        <x:v>No issue detail</x:v>
      </x:c>
      <x:c r="Z36" s="25" t="n">
        <x:v>0</x:v>
      </x:c>
      <x:c r="AA36" s="25" t="n">
        <x:v>1</x:v>
      </x:c>
      <x:c r="AB36" s="25" t="n">
        <x:v>0</x:v>
      </x:c>
      <x:c r="AC36" s="25" t="n">
        <x:v>0</x:v>
      </x:c>
      <x:c r="AD36" s="25" t="n">
        <x:v>0</x:v>
      </x:c>
      <x:c r="AE36" s="27" t="n">
        <x:v>0</x:v>
      </x:c>
    </x:row>
    <x:row r="37">
      <x:c r="A37" s="24" t="str">
        <x:v>R039</x:v>
      </x:c>
      <x:c r="B37" s="32" t="n">
        <x:v>46282.21220751158</x:v>
      </x:c>
      <x:c r="C37" s="25" t="n">
        <x:v>39</x:v>
      </x:c>
      <x:c r="D37" s="25" t="str">
        <x:v>Legacy</x:v>
      </x:c>
      <x:c r="E37" s="25" t="str">
        <x:v>en</x:v>
      </x:c>
      <x:c r="F37" s="25" t="str">
        <x:v>driver</x:v>
      </x:c>
      <x:c r="G37" s="25" t="str">
        <x:v>Hyderabad</x:v>
      </x:c>
      <x:c r="H37" s="25" t="str">
        <x:v>Hyderabad</x:v>
      </x:c>
      <x:c r="I37" s="25" t="str">
        <x:v>yes</x:v>
      </x:c>
      <x:c r="J37" s="25" t="str">
        <x:v>no</x:v>
      </x:c>
      <x:c r="K37" s="25" t="n">
        <x:v>0</x:v>
      </x:c>
      <x:c r="L37" s="26" t="str"/>
      <x:c r="M37" s="26" t="str"/>
      <x:c r="N37" s="26" t="str"/>
      <x:c r="O37" s="26" t="str"/>
      <x:c r="P37" s="26" t="str"/>
      <x:c r="Q37" s="26" t="str"/>
      <x:c r="R37" s="26" t="str"/>
      <x:c r="S37" s="26" t="str"/>
      <x:c r="T37" s="26" t="str"/>
      <x:c r="U37" s="26" t="str"/>
      <x:c r="V37" s="26" t="str"/>
      <x:c r="W37" s="26" t="str">
        <x:v>Good to zero error friendly app</x:v>
      </x:c>
      <x:c r="X37" s="25" t="str">
        <x:v>no</x:v>
      </x:c>
      <x:c r="Y37" s="25" t="str">
        <x:v>Context only</x:v>
      </x:c>
      <x:c r="Z37" s="25" t="n">
        <x:v>1</x:v>
      </x:c>
      <x:c r="AA37" s="25" t="n">
        <x:v>1</x:v>
      </x:c>
      <x:c r="AB37" s="25" t="n">
        <x:v>0</x:v>
      </x:c>
      <x:c r="AC37" s="25" t="n">
        <x:v>0</x:v>
      </x:c>
      <x:c r="AD37" s="25" t="n">
        <x:v>0</x:v>
      </x:c>
      <x:c r="AE37" s="27" t="n">
        <x:v>0</x:v>
      </x:c>
    </x:row>
    <x:row r="38">
      <x:c r="A38" s="24" t="str">
        <x:v>R040</x:v>
      </x:c>
      <x:c r="B38" s="32" t="n">
        <x:v>46282.21539229167</x:v>
      </x:c>
      <x:c r="C38" s="25" t="n">
        <x:v>40</x:v>
      </x:c>
      <x:c r="D38" s="25" t="str">
        <x:v>Legacy</x:v>
      </x:c>
      <x:c r="E38" s="25" t="str">
        <x:v>en</x:v>
      </x:c>
      <x:c r="F38" s="25" t="str">
        <x:v>rider</x:v>
      </x:c>
      <x:c r="G38" s="25" t="str">
        <x:v>Other</x:v>
      </x:c>
      <x:c r="H38" s="25" t="str">
        <x:v>Bengaluru</x:v>
      </x:c>
      <x:c r="I38" s="25" t="str">
        <x:v>yes</x:v>
      </x:c>
      <x:c r="J38" s="25" t="str">
        <x:v>yes</x:v>
      </x:c>
      <x:c r="K38" s="25" t="n">
        <x:v>1</x:v>
      </x:c>
      <x:c r="L38" s="26" t="str"/>
      <x:c r="M38" s="26" t="str"/>
      <x:c r="N38" s="26" t="str"/>
      <x:c r="O38" s="26" t="str"/>
      <x:c r="P38" s="26" t="str"/>
      <x:c r="Q38" s="26" t="str">
        <x:v>mall</x:v>
      </x:c>
      <x:c r="R38" s="26" t="str">
        <x:v>other</x:v>
      </x:c>
      <x:c r="S38" s="26" t="str">
        <x:v>I had no choice but to carry on with ride</x:v>
      </x:c>
      <x:c r="T38" s="26" t="str"/>
      <x:c r="U38" s="26" t="str">
        <x:v>nothing</x:v>
      </x:c>
      <x:c r="V38" s="26" t="str">
        <x:v>no</x:v>
      </x:c>
      <x:c r="W38" s="26" t="str"/>
      <x:c r="X38" s="25" t="str">
        <x:v>no</x:v>
      </x:c>
      <x:c r="Y38" s="25" t="str">
        <x:v>Structured only</x:v>
      </x:c>
      <x:c r="Z38" s="25" t="n">
        <x:v>1</x:v>
      </x:c>
      <x:c r="AA38" s="25" t="n">
        <x:v>0</x:v>
      </x:c>
      <x:c r="AB38" s="25" t="n">
        <x:v>0</x:v>
      </x:c>
      <x:c r="AC38" s="25" t="n">
        <x:v>0</x:v>
      </x:c>
      <x:c r="AD38" s="25" t="n">
        <x:v>0</x:v>
      </x:c>
      <x:c r="AE38" s="27" t="n">
        <x:v>0</x:v>
      </x:c>
    </x:row>
    <x:row r="39">
      <x:c r="A39" s="24" t="str">
        <x:v>R041</x:v>
      </x:c>
      <x:c r="B39" s="32" t="n">
        <x:v>46282.21843878472</x:v>
      </x:c>
      <x:c r="C39" s="25" t="n">
        <x:v>41</x:v>
      </x:c>
      <x:c r="D39" s="25" t="str">
        <x:v>Legacy</x:v>
      </x:c>
      <x:c r="E39" s="25" t="str">
        <x:v>te</x:v>
      </x:c>
      <x:c r="F39" s="25" t="str">
        <x:v>rider</x:v>
      </x:c>
      <x:c r="G39" s="25" t="str">
        <x:v>Other</x:v>
      </x:c>
      <x:c r="H39" s="25" t="str">
        <x:v>Visakhapatnam</x:v>
      </x:c>
      <x:c r="I39" s="25" t="str">
        <x:v>yes</x:v>
      </x:c>
      <x:c r="J39" s="25" t="str">
        <x:v>yes</x:v>
      </x:c>
      <x:c r="K39" s="25" t="n">
        <x:v>1</x:v>
      </x:c>
      <x:c r="L39" s="26" t="str"/>
      <x:c r="M39" s="26" t="str"/>
      <x:c r="N39" s="26" t="str"/>
      <x:c r="O39" s="26" t="str"/>
      <x:c r="P39" s="26" t="str"/>
      <x:c r="Q39" s="26" t="str">
        <x:v>hotel</x:v>
      </x:c>
      <x:c r="R39" s="26" t="str">
        <x:v>called</x:v>
      </x:c>
      <x:c r="S39" s="26" t="str"/>
      <x:c r="T39" s="26" t="str"/>
      <x:c r="U39" s="26" t="str">
        <x:v>called_messaged</x:v>
      </x:c>
      <x:c r="V39" s="26" t="str">
        <x:v>no</x:v>
      </x:c>
      <x:c r="W39" s="26" t="str"/>
      <x:c r="X39" s="25" t="str">
        <x:v>no</x:v>
      </x:c>
      <x:c r="Y39" s="25" t="str">
        <x:v>Structured only</x:v>
      </x:c>
      <x:c r="Z39" s="25" t="n">
        <x:v>1</x:v>
      </x:c>
      <x:c r="AA39" s="25" t="n">
        <x:v>0</x:v>
      </x:c>
      <x:c r="AB39" s="25" t="n">
        <x:v>0</x:v>
      </x:c>
      <x:c r="AC39" s="25" t="n">
        <x:v>0</x:v>
      </x:c>
      <x:c r="AD39" s="25" t="n">
        <x:v>0</x:v>
      </x:c>
      <x:c r="AE39" s="27" t="n">
        <x:v>0</x:v>
      </x:c>
    </x:row>
    <x:row r="40">
      <x:c r="A40" s="24" t="str">
        <x:v>R042</x:v>
      </x:c>
      <x:c r="B40" s="32" t="n">
        <x:v>46282.2210174537</x:v>
      </x:c>
      <x:c r="C40" s="25" t="n">
        <x:v>42</x:v>
      </x:c>
      <x:c r="D40" s="25" t="str">
        <x:v>Current</x:v>
      </x:c>
      <x:c r="E40" s="25" t="str">
        <x:v>te</x:v>
      </x:c>
      <x:c r="F40" s="25" t="str">
        <x:v>rider</x:v>
      </x:c>
      <x:c r="G40" s="25" t="str">
        <x:v>Hyderabad</x:v>
      </x:c>
      <x:c r="H40" s="25" t="str">
        <x:v>Hyderabad</x:v>
      </x:c>
      <x:c r="I40" s="25" t="str">
        <x:v>yes</x:v>
      </x:c>
      <x:c r="J40" s="25" t="str">
        <x:v>no</x:v>
      </x:c>
      <x:c r="K40" s="25" t="n">
        <x:v>0</x:v>
      </x:c>
      <x:c r="L40" s="26" t="str"/>
      <x:c r="M40" s="26" t="str"/>
      <x:c r="N40" s="26" t="str"/>
      <x:c r="O40" s="26" t="str"/>
      <x:c r="P40" s="26" t="str"/>
      <x:c r="Q40" s="26" t="str"/>
      <x:c r="R40" s="26" t="str"/>
      <x:c r="S40" s="26" t="str"/>
      <x:c r="T40" s="26" t="str"/>
      <x:c r="U40" s="26" t="str"/>
      <x:c r="V40" s="26" t="str"/>
      <x:c r="W40" s="26" t="str">
        <x:v>అధిక టిప్స్ మరియు క్యాన్సిలషన్ ఇబ్బదిగా ఉంది.</x:v>
      </x:c>
      <x:c r="X40" s="25" t="str">
        <x:v>no</x:v>
      </x:c>
      <x:c r="Y40" s="25" t="str">
        <x:v>Context only</x:v>
      </x:c>
      <x:c r="Z40" s="25" t="n">
        <x:v>1</x:v>
      </x:c>
      <x:c r="AA40" s="25" t="n">
        <x:v>1</x:v>
      </x:c>
      <x:c r="AB40" s="25" t="n">
        <x:v>0</x:v>
      </x:c>
      <x:c r="AC40" s="25" t="n">
        <x:v>0</x:v>
      </x:c>
      <x:c r="AD40" s="25" t="n">
        <x:v>0</x:v>
      </x:c>
      <x:c r="AE40" s="27" t="n">
        <x:v>0</x:v>
      </x:c>
    </x:row>
    <x:row r="41">
      <x:c r="A41" s="24" t="str">
        <x:v>R045</x:v>
      </x:c>
      <x:c r="B41" s="32" t="n">
        <x:v>46282.22465099537</x:v>
      </x:c>
      <x:c r="C41" s="25" t="n">
        <x:v>45</x:v>
      </x:c>
      <x:c r="D41" s="25" t="str">
        <x:v>Current</x:v>
      </x:c>
      <x:c r="E41" s="25" t="str">
        <x:v>en</x:v>
      </x:c>
      <x:c r="F41" s="25" t="str">
        <x:v>rider</x:v>
      </x:c>
      <x:c r="G41" s="25" t="str">
        <x:v>Other</x:v>
      </x:c>
      <x:c r="H41" s="25" t="str">
        <x:v>Kolkata</x:v>
      </x:c>
      <x:c r="I41" s="25" t="str">
        <x:v>yes</x:v>
      </x:c>
      <x:c r="J41" s="25" t="str">
        <x:v>yes</x:v>
      </x:c>
      <x:c r="K41" s="25" t="n">
        <x:v>1</x:v>
      </x:c>
      <x:c r="L41" s="26" t="str"/>
      <x:c r="M41" s="26" t="str"/>
      <x:c r="N41" s="26" t="str"/>
      <x:c r="O41" s="26" t="str"/>
      <x:c r="P41" s="26" t="str">
        <x:v>wrong_pin, driver_no_stop, cancelled</x:v>
      </x:c>
      <x:c r="Q41" s="26" t="str">
        <x:v>hospital</x:v>
      </x:c>
      <x:c r="R41" s="26" t="str">
        <x:v>waited</x:v>
      </x:c>
      <x:c r="S41" s="26" t="str"/>
      <x:c r="T41" s="26" t="str">
        <x:v>gt15</x:v>
      </x:c>
      <x:c r="U41" s="26" t="str">
        <x:v>nothing</x:v>
      </x:c>
      <x:c r="V41" s="26" t="str">
        <x:v>yes</x:v>
      </x:c>
      <x:c r="W41" s="26" t="str"/>
      <x:c r="X41" s="25" t="str">
        <x:v>no</x:v>
      </x:c>
      <x:c r="Y41" s="25" t="str">
        <x:v>Structured only</x:v>
      </x:c>
      <x:c r="Z41" s="25" t="n">
        <x:v>1</x:v>
      </x:c>
      <x:c r="AA41" s="25" t="n">
        <x:v>0</x:v>
      </x:c>
      <x:c r="AB41" s="25" t="n">
        <x:v>1</x:v>
      </x:c>
      <x:c r="AC41" s="25" t="n">
        <x:v>0</x:v>
      </x:c>
      <x:c r="AD41" s="25" t="n">
        <x:v>0</x:v>
      </x:c>
      <x:c r="AE41" s="27" t="n">
        <x:v>0</x:v>
      </x:c>
    </x:row>
    <x:row r="42">
      <x:c r="A42" s="24" t="str">
        <x:v>R046</x:v>
      </x:c>
      <x:c r="B42" s="32" t="n">
        <x:v>46282.22499310185</x:v>
      </x:c>
      <x:c r="C42" s="25" t="n">
        <x:v>46</x:v>
      </x:c>
      <x:c r="D42" s="25" t="str">
        <x:v>Current</x:v>
      </x:c>
      <x:c r="E42" s="25" t="str">
        <x:v>en</x:v>
      </x:c>
      <x:c r="F42" s="25" t="str">
        <x:v>driver</x:v>
      </x:c>
      <x:c r="G42" s="25" t="str">
        <x:v>Other</x:v>
      </x:c>
      <x:c r="H42" s="25" t="str">
        <x:v>Mumbai</x:v>
      </x:c>
      <x:c r="I42" s="25" t="str">
        <x:v>yes</x:v>
      </x:c>
      <x:c r="J42" s="25" t="str">
        <x:v>no</x:v>
      </x:c>
      <x:c r="K42" s="25" t="n">
        <x:v>0</x:v>
      </x:c>
      <x:c r="L42" s="26" t="str"/>
      <x:c r="M42" s="26" t="str"/>
      <x:c r="N42" s="26" t="str"/>
      <x:c r="O42" s="26" t="str"/>
      <x:c r="P42" s="26" t="str"/>
      <x:c r="Q42" s="26" t="str"/>
      <x:c r="R42" s="26" t="str"/>
      <x:c r="S42" s="26" t="str"/>
      <x:c r="T42" s="26" t="str"/>
      <x:c r="U42" s="26" t="str"/>
      <x:c r="V42" s="26" t="str"/>
      <x:c r="W42" s="26" t="str">
        <x:v>The vehicles are dirty and not kept well. Not provided with simple things like a sealed bottle of water. No fire extinguisher. The Driver is shabbily dressed. Etc</x:v>
      </x:c>
      <x:c r="X42" s="25" t="str">
        <x:v>no</x:v>
      </x:c>
      <x:c r="Y42" s="25" t="str">
        <x:v>Context only</x:v>
      </x:c>
      <x:c r="Z42" s="25" t="n">
        <x:v>1</x:v>
      </x:c>
      <x:c r="AA42" s="25" t="n">
        <x:v>0</x:v>
      </x:c>
      <x:c r="AB42" s="25" t="n">
        <x:v>0</x:v>
      </x:c>
      <x:c r="AC42" s="25" t="n">
        <x:v>0</x:v>
      </x:c>
      <x:c r="AD42" s="25" t="n">
        <x:v>0</x:v>
      </x:c>
      <x:c r="AE42" s="27" t="n">
        <x:v>0</x:v>
      </x:c>
    </x:row>
    <x:row r="43">
      <x:c r="A43" s="24" t="str">
        <x:v>R047</x:v>
      </x:c>
      <x:c r="B43" s="32" t="n">
        <x:v>46282.22536693287</x:v>
      </x:c>
      <x:c r="C43" s="25" t="n">
        <x:v>47</x:v>
      </x:c>
      <x:c r="D43" s="25" t="str">
        <x:v>Current</x:v>
      </x:c>
      <x:c r="E43" s="25" t="str">
        <x:v>en</x:v>
      </x:c>
      <x:c r="F43" s="25" t="str">
        <x:v>rider</x:v>
      </x:c>
      <x:c r="G43" s="25" t="str">
        <x:v>Hyderabad</x:v>
      </x:c>
      <x:c r="H43" s="25" t="str">
        <x:v>Hyderabad</x:v>
      </x:c>
      <x:c r="I43" s="25" t="str">
        <x:v>yes</x:v>
      </x:c>
      <x:c r="J43" s="25" t="str">
        <x:v>yes</x:v>
      </x:c>
      <x:c r="K43" s="25" t="n">
        <x:v>1</x:v>
      </x:c>
      <x:c r="L43" s="26" t="str">
        <x:v>During rains it would be very difficult to book a cab and even after booking there are many cancellations based on the drop point.</x:v>
      </x:c>
      <x:c r="M43" s="26" t="str"/>
      <x:c r="N43" s="26" t="str">
        <x:v>Driver calls and asks for drop location. Then based on the location he cancels</x:v>
      </x:c>
      <x:c r="O43" s="26" t="str">
        <x:v>Peek time bookings</x:v>
      </x:c>
      <x:c r="P43" s="26" t="str">
        <x:v>poor_signal, cancelled, wrong_pin</x:v>
      </x:c>
      <x:c r="Q43" s="26" t="str">
        <x:v>mall, office, station, residential</x:v>
      </x:c>
      <x:c r="R43" s="26" t="str">
        <x:v>moved, called</x:v>
      </x:c>
      <x:c r="S43" s="26" t="str"/>
      <x:c r="T43" s="26" t="str">
        <x:v>2to5</x:v>
      </x:c>
      <x:c r="U43" s="26" t="str">
        <x:v>called_messaged</x:v>
      </x:c>
      <x:c r="V43" s="26" t="str">
        <x:v>yes</x:v>
      </x:c>
      <x:c r="W43" s="26" t="str"/>
      <x:c r="X43" s="25" t="str">
        <x:v>yes</x:v>
      </x:c>
      <x:c r="Y43" s="25" t="str">
        <x:v>Partial detailed</x:v>
      </x:c>
      <x:c r="Z43" s="25" t="n">
        <x:v>1</x:v>
      </x:c>
      <x:c r="AA43" s="25" t="n">
        <x:v>1</x:v>
      </x:c>
      <x:c r="AB43" s="25" t="n">
        <x:v>0</x:v>
      </x:c>
      <x:c r="AC43" s="25" t="n">
        <x:v>1</x:v>
      </x:c>
      <x:c r="AD43" s="25" t="n">
        <x:v>0</x:v>
      </x:c>
      <x:c r="AE43" s="27" t="n">
        <x:v>0</x:v>
      </x:c>
    </x:row>
    <x:row r="44">
      <x:c r="A44" s="24" t="str">
        <x:v>R048</x:v>
      </x:c>
      <x:c r="B44" s="32" t="n">
        <x:v>46282.23397872685</x:v>
      </x:c>
      <x:c r="C44" s="25" t="n">
        <x:v>48</x:v>
      </x:c>
      <x:c r="D44" s="25" t="str">
        <x:v>Current</x:v>
      </x:c>
      <x:c r="E44" s="25" t="str">
        <x:v>en</x:v>
      </x:c>
      <x:c r="F44" s="25" t="str">
        <x:v>rider</x:v>
      </x:c>
      <x:c r="G44" s="25" t="str">
        <x:v>Hyderabad</x:v>
      </x:c>
      <x:c r="H44" s="25" t="str">
        <x:v>Hyderabad</x:v>
      </x:c>
      <x:c r="I44" s="25" t="str">
        <x:v>yes</x:v>
      </x:c>
      <x:c r="J44" s="25" t="str">
        <x:v>no</x:v>
      </x:c>
      <x:c r="K44" s="25" t="n">
        <x:v>0</x:v>
      </x:c>
      <x:c r="L44" s="26" t="str"/>
      <x:c r="M44" s="26" t="str"/>
      <x:c r="N44" s="26" t="str"/>
      <x:c r="O44" s="26" t="str"/>
      <x:c r="P44" s="26" t="str"/>
      <x:c r="Q44" s="26" t="str"/>
      <x:c r="R44" s="26" t="str"/>
      <x:c r="S44" s="26" t="str"/>
      <x:c r="T44" s="26" t="str"/>
      <x:c r="U44" s="26" t="str"/>
      <x:c r="V44" s="26" t="str"/>
      <x:c r="W44" s="26" t="str">
        <x:v>xxx</x:v>
      </x:c>
      <x:c r="X44" s="25" t="str">
        <x:v>no</x:v>
      </x:c>
      <x:c r="Y44" s="25" t="str">
        <x:v>No issue detail</x:v>
      </x:c>
      <x:c r="Z44" s="25" t="n">
        <x:v>1</x:v>
      </x:c>
      <x:c r="AA44" s="25" t="n">
        <x:v>1</x:v>
      </x:c>
      <x:c r="AB44" s="25" t="n">
        <x:v>0</x:v>
      </x:c>
      <x:c r="AC44" s="25" t="n">
        <x:v>0</x:v>
      </x:c>
      <x:c r="AD44" s="25" t="n">
        <x:v>0</x:v>
      </x:c>
      <x:c r="AE44" s="27" t="n">
        <x:v>0</x:v>
      </x:c>
    </x:row>
    <x:row r="45">
      <x:c r="A45" s="24" t="str">
        <x:v>R049</x:v>
      </x:c>
      <x:c r="B45" s="32" t="n">
        <x:v>46282.23477805556</x:v>
      </x:c>
      <x:c r="C45" s="25" t="n">
        <x:v>49</x:v>
      </x:c>
      <x:c r="D45" s="25" t="str">
        <x:v>Current</x:v>
      </x:c>
      <x:c r="E45" s="25" t="str">
        <x:v>en</x:v>
      </x:c>
      <x:c r="F45" s="25" t="str">
        <x:v>rider</x:v>
      </x:c>
      <x:c r="G45" s="25" t="str">
        <x:v>Hyderabad</x:v>
      </x:c>
      <x:c r="H45" s="25" t="str">
        <x:v>Hyderabad</x:v>
      </x:c>
      <x:c r="I45" s="25" t="str">
        <x:v>yes</x:v>
      </x:c>
      <x:c r="J45" s="25" t="str">
        <x:v>no</x:v>
      </x:c>
      <x:c r="K45" s="25" t="n">
        <x:v>0</x:v>
      </x:c>
      <x:c r="L45" s="26" t="str"/>
      <x:c r="M45" s="26" t="str"/>
      <x:c r="N45" s="26" t="str"/>
      <x:c r="O45" s="26" t="str"/>
      <x:c r="P45" s="26" t="str"/>
      <x:c r="Q45" s="26" t="str"/>
      <x:c r="R45" s="26" t="str"/>
      <x:c r="S45" s="26" t="str"/>
      <x:c r="T45" s="26" t="str"/>
      <x:c r="U45" s="26" t="str"/>
      <x:c r="V45" s="26" t="str"/>
      <x:c r="W45" s="26" t="str">
        <x:v>There were instances when the driver has accepted the ride but will not move or start from the location for long time and later cancels or waits for us to cancel the ride.</x:v>
      </x:c>
      <x:c r="X45" s="25" t="str">
        <x:v>yes</x:v>
      </x:c>
      <x:c r="Y45" s="25" t="str">
        <x:v>Context only</x:v>
      </x:c>
      <x:c r="Z45" s="25" t="n">
        <x:v>1</x:v>
      </x:c>
      <x:c r="AA45" s="25" t="n">
        <x:v>1</x:v>
      </x:c>
      <x:c r="AB45" s="25" t="n">
        <x:v>0</x:v>
      </x:c>
      <x:c r="AC45" s="25" t="n">
        <x:v>0</x:v>
      </x:c>
      <x:c r="AD45" s="25" t="n">
        <x:v>0</x:v>
      </x:c>
      <x:c r="AE45" s="27" t="n">
        <x:v>0</x:v>
      </x:c>
    </x:row>
    <x:row r="46">
      <x:c r="A46" s="24" t="str">
        <x:v>R050</x:v>
      </x:c>
      <x:c r="B46" s="32" t="n">
        <x:v>46282.242795578706</x:v>
      </x:c>
      <x:c r="C46" s="25" t="n">
        <x:v>50</x:v>
      </x:c>
      <x:c r="D46" s="25" t="str">
        <x:v>Current</x:v>
      </x:c>
      <x:c r="E46" s="25" t="str">
        <x:v>en</x:v>
      </x:c>
      <x:c r="F46" s="25" t="str">
        <x:v>rider</x:v>
      </x:c>
      <x:c r="G46" s="25" t="str">
        <x:v>Other</x:v>
      </x:c>
      <x:c r="H46" s="25" t="str">
        <x:v>Bangalore</x:v>
      </x:c>
      <x:c r="I46" s="25" t="str">
        <x:v>yes</x:v>
      </x:c>
      <x:c r="J46" s="25" t="str">
        <x:v>yes</x:v>
      </x:c>
      <x:c r="K46" s="25" t="n">
        <x:v>1</x:v>
      </x:c>
      <x:c r="L46" s="26" t="str"/>
      <x:c r="M46" s="26" t="str"/>
      <x:c r="N46" s="26" t="str"/>
      <x:c r="O46" s="26" t="str"/>
      <x:c r="P46" s="26" t="str">
        <x:v>similar_gates, driver_no_stop, poor_signal, long_walk, cancelled, wrong_pin</x:v>
      </x:c>
      <x:c r="Q46" s="26" t="str">
        <x:v>airport, mall, office, street, residential</x:v>
      </x:c>
      <x:c r="R46" s="26" t="str">
        <x:v>called, messaged, moved, waited</x:v>
      </x:c>
      <x:c r="S46" s="26" t="str"/>
      <x:c r="T46" s="26" t="str">
        <x:v>gt15</x:v>
      </x:c>
      <x:c r="U46" s="26" t="str">
        <x:v>called_messaged</x:v>
      </x:c>
      <x:c r="V46" s="26" t="str">
        <x:v>yes</x:v>
      </x:c>
      <x:c r="W46" s="26" t="str"/>
      <x:c r="X46" s="25" t="str">
        <x:v>yes</x:v>
      </x:c>
      <x:c r="Y46" s="25" t="str">
        <x:v>Structured only</x:v>
      </x:c>
      <x:c r="Z46" s="25" t="n">
        <x:v>1</x:v>
      </x:c>
      <x:c r="AA46" s="25" t="n">
        <x:v>0</x:v>
      </x:c>
      <x:c r="AB46" s="25" t="n">
        <x:v>1</x:v>
      </x:c>
      <x:c r="AC46" s="25" t="n">
        <x:v>0</x:v>
      </x:c>
      <x:c r="AD46" s="25" t="n">
        <x:v>0</x:v>
      </x:c>
      <x:c r="AE46" s="27" t="n">
        <x:v>0</x:v>
      </x:c>
    </x:row>
    <x:row r="47">
      <x:c r="A47" s="24" t="str">
        <x:v>R051</x:v>
      </x:c>
      <x:c r="B47" s="32" t="n">
        <x:v>46282.243515138885</x:v>
      </x:c>
      <x:c r="C47" s="25" t="n">
        <x:v>51</x:v>
      </x:c>
      <x:c r="D47" s="25" t="str">
        <x:v>Current</x:v>
      </x:c>
      <x:c r="E47" s="25" t="str">
        <x:v>en</x:v>
      </x:c>
      <x:c r="F47" s="25" t="str">
        <x:v>rider</x:v>
      </x:c>
      <x:c r="G47" s="25" t="str">
        <x:v>Hyderabad</x:v>
      </x:c>
      <x:c r="H47" s="25" t="str">
        <x:v>Hyderabad</x:v>
      </x:c>
      <x:c r="I47" s="25" t="str">
        <x:v>yes</x:v>
      </x:c>
      <x:c r="J47" s="25" t="str">
        <x:v>no</x:v>
      </x:c>
      <x:c r="K47" s="25" t="n">
        <x:v>0</x:v>
      </x:c>
      <x:c r="L47" s="26" t="str"/>
      <x:c r="M47" s="26" t="str"/>
      <x:c r="N47" s="26" t="str"/>
      <x:c r="O47" s="26" t="str"/>
      <x:c r="P47" s="26" t="str"/>
      <x:c r="Q47" s="26" t="str"/>
      <x:c r="R47" s="26" t="str"/>
      <x:c r="S47" s="26" t="str"/>
      <x:c r="T47" s="26" t="str"/>
      <x:c r="U47" s="26" t="str"/>
      <x:c r="V47" s="26" t="str"/>
      <x:c r="W47" s="26" t="str">
        <x:v>If the pick up time is early in the morning say 4.30 am or 5 am there are issues of delay or last minute cancellation. 
Few times the cab was smelling and not clean.
Drivers keep speaking on mobile while driving.</x:v>
      </x:c>
      <x:c r="X47" s="25" t="str">
        <x:v>no</x:v>
      </x:c>
      <x:c r="Y47" s="25" t="str">
        <x:v>Context only</x:v>
      </x:c>
      <x:c r="Z47" s="25" t="n">
        <x:v>1</x:v>
      </x:c>
      <x:c r="AA47" s="25" t="n">
        <x:v>1</x:v>
      </x:c>
      <x:c r="AB47" s="25" t="n">
        <x:v>0</x:v>
      </x:c>
      <x:c r="AC47" s="25" t="n">
        <x:v>0</x:v>
      </x:c>
      <x:c r="AD47" s="25" t="n">
        <x:v>0</x:v>
      </x:c>
      <x:c r="AE47" s="27" t="n">
        <x:v>0</x:v>
      </x:c>
    </x:row>
    <x:row r="48">
      <x:c r="A48" s="24" t="str">
        <x:v>R052</x:v>
      </x:c>
      <x:c r="B48" s="32" t="n">
        <x:v>46282.24830609954</x:v>
      </x:c>
      <x:c r="C48" s="25" t="n">
        <x:v>52</x:v>
      </x:c>
      <x:c r="D48" s="25" t="str">
        <x:v>Current</x:v>
      </x:c>
      <x:c r="E48" s="25" t="str">
        <x:v>en</x:v>
      </x:c>
      <x:c r="F48" s="25" t="str">
        <x:v>rider</x:v>
      </x:c>
      <x:c r="G48" s="25" t="str">
        <x:v>Hyderabad</x:v>
      </x:c>
      <x:c r="H48" s="25" t="str">
        <x:v>Hyderabad</x:v>
      </x:c>
      <x:c r="I48" s="25" t="str">
        <x:v>yes</x:v>
      </x:c>
      <x:c r="J48" s="25" t="str">
        <x:v>no</x:v>
      </x:c>
      <x:c r="K48" s="25" t="n">
        <x:v>0</x:v>
      </x:c>
      <x:c r="L48" s="26" t="str"/>
      <x:c r="M48" s="26" t="str"/>
      <x:c r="N48" s="26" t="str"/>
      <x:c r="O48" s="26" t="str"/>
      <x:c r="P48" s="26" t="str"/>
      <x:c r="Q48" s="26" t="str"/>
      <x:c r="R48" s="26" t="str"/>
      <x:c r="S48" s="26" t="str"/>
      <x:c r="T48" s="26" t="str"/>
      <x:c r="U48" s="26" t="str"/>
      <x:c r="V48" s="26" t="str"/>
      <x:c r="W48" s="26" t="str"/>
      <x:c r="X48" s="25" t="str">
        <x:v>no</x:v>
      </x:c>
      <x:c r="Y48" s="25" t="str">
        <x:v>No issue detail</x:v>
      </x:c>
      <x:c r="Z48" s="25" t="n">
        <x:v>1</x:v>
      </x:c>
      <x:c r="AA48" s="25" t="n">
        <x:v>1</x:v>
      </x:c>
      <x:c r="AB48" s="25" t="n">
        <x:v>0</x:v>
      </x:c>
      <x:c r="AC48" s="25" t="n">
        <x:v>0</x:v>
      </x:c>
      <x:c r="AD48" s="25" t="n">
        <x:v>0</x:v>
      </x:c>
      <x:c r="AE48" s="27" t="n">
        <x:v>0</x:v>
      </x:c>
    </x:row>
    <x:row r="49">
      <x:c r="A49" s="24" t="str">
        <x:v>R053</x:v>
      </x:c>
      <x:c r="B49" s="32" t="n">
        <x:v>46282.251308831015</x:v>
      </x:c>
      <x:c r="C49" s="25" t="n">
        <x:v>53</x:v>
      </x:c>
      <x:c r="D49" s="25" t="str">
        <x:v>Current</x:v>
      </x:c>
      <x:c r="E49" s="25" t="str">
        <x:v>en</x:v>
      </x:c>
      <x:c r="F49" s="25" t="str">
        <x:v>rider</x:v>
      </x:c>
      <x:c r="G49" s="25" t="str">
        <x:v>Hyderabad</x:v>
      </x:c>
      <x:c r="H49" s="25" t="str">
        <x:v>Hyderabad</x:v>
      </x:c>
      <x:c r="I49" s="25" t="str">
        <x:v>yes</x:v>
      </x:c>
      <x:c r="J49" s="25" t="str">
        <x:v>yes</x:v>
      </x:c>
      <x:c r="K49" s="25" t="n">
        <x:v>1</x:v>
      </x:c>
      <x:c r="L49" s="26" t="str">
        <x:v>Some of the driver's are unable to identity the location and they are asking me to cancel the ride</x:v>
      </x:c>
      <x:c r="M49" s="26" t="str"/>
      <x:c r="N49" s="26" t="str">
        <x:v>Because the waiting time is too long</x:v>
      </x:c>
      <x:c r="O49" s="26" t="str">
        <x:v>Finding the location or they doesn't want come</x:v>
      </x:c>
      <x:c r="P49" s="26" t="str">
        <x:v>wrong_pin</x:v>
      </x:c>
      <x:c r="Q49" s="26" t="str">
        <x:v>residential</x:v>
      </x:c>
      <x:c r="R49" s="26" t="str">
        <x:v>messaged</x:v>
      </x:c>
      <x:c r="S49" s="26" t="str"/>
      <x:c r="T49" s="26" t="str">
        <x:v>5to15</x:v>
      </x:c>
      <x:c r="U49" s="26" t="str">
        <x:v>called_messaged</x:v>
      </x:c>
      <x:c r="V49" s="26" t="str">
        <x:v>yes</x:v>
      </x:c>
      <x:c r="W49" s="26" t="str">
        <x:v>Nothing</x:v>
      </x:c>
      <x:c r="X49" s="25" t="str">
        <x:v>yes</x:v>
      </x:c>
      <x:c r="Y49" s="25" t="str">
        <x:v>Partial detailed</x:v>
      </x:c>
      <x:c r="Z49" s="25" t="n">
        <x:v>1</x:v>
      </x:c>
      <x:c r="AA49" s="25" t="n">
        <x:v>1</x:v>
      </x:c>
      <x:c r="AB49" s="25" t="n">
        <x:v>1</x:v>
      </x:c>
      <x:c r="AC49" s="25" t="n">
        <x:v>1</x:v>
      </x:c>
      <x:c r="AD49" s="25" t="n">
        <x:v>0</x:v>
      </x:c>
      <x:c r="AE49" s="27" t="n">
        <x:v>0</x:v>
      </x:c>
    </x:row>
    <x:row r="50">
      <x:c r="A50" s="24" t="str">
        <x:v>R054</x:v>
      </x:c>
      <x:c r="B50" s="32" t="n">
        <x:v>46282.251401967595</x:v>
      </x:c>
      <x:c r="C50" s="25" t="n">
        <x:v>54</x:v>
      </x:c>
      <x:c r="D50" s="25" t="str">
        <x:v>Current</x:v>
      </x:c>
      <x:c r="E50" s="25" t="str">
        <x:v>en</x:v>
      </x:c>
      <x:c r="F50" s="25" t="str">
        <x:v>rider</x:v>
      </x:c>
      <x:c r="G50" s="25" t="str">
        <x:v>Other</x:v>
      </x:c>
      <x:c r="H50" s="25" t="str">
        <x:v>Visakhapatnam</x:v>
      </x:c>
      <x:c r="I50" s="25" t="str">
        <x:v>yes</x:v>
      </x:c>
      <x:c r="J50" s="25" t="str">
        <x:v>no</x:v>
      </x:c>
      <x:c r="K50" s="25" t="n">
        <x:v>0</x:v>
      </x:c>
      <x:c r="L50" s="26" t="str"/>
      <x:c r="M50" s="26" t="str"/>
      <x:c r="N50" s="26" t="str"/>
      <x:c r="O50" s="26" t="str"/>
      <x:c r="P50" s="26" t="str"/>
      <x:c r="Q50" s="26" t="str"/>
      <x:c r="R50" s="26" t="str"/>
      <x:c r="S50" s="26" t="str"/>
      <x:c r="T50" s="26" t="str"/>
      <x:c r="U50" s="26" t="str"/>
      <x:c r="V50" s="26" t="str"/>
      <x:c r="W50" s="26" t="str"/>
      <x:c r="X50" s="25" t="str">
        <x:v>no</x:v>
      </x:c>
      <x:c r="Y50" s="25" t="str">
        <x:v>No issue detail</x:v>
      </x:c>
      <x:c r="Z50" s="25" t="n">
        <x:v>1</x:v>
      </x:c>
      <x:c r="AA50" s="25" t="n">
        <x:v>0</x:v>
      </x:c>
      <x:c r="AB50" s="25" t="n">
        <x:v>0</x:v>
      </x:c>
      <x:c r="AC50" s="25" t="n">
        <x:v>0</x:v>
      </x:c>
      <x:c r="AD50" s="25" t="n">
        <x:v>0</x:v>
      </x:c>
      <x:c r="AE50" s="27" t="n">
        <x:v>0</x:v>
      </x:c>
    </x:row>
    <x:row r="51">
      <x:c r="A51" s="24" t="str">
        <x:v>R055</x:v>
      </x:c>
      <x:c r="B51" s="32" t="n">
        <x:v>46282.25168288194</x:v>
      </x:c>
      <x:c r="C51" s="25" t="n">
        <x:v>55</x:v>
      </x:c>
      <x:c r="D51" s="25" t="str">
        <x:v>Current</x:v>
      </x:c>
      <x:c r="E51" s="25" t="str">
        <x:v>en</x:v>
      </x:c>
      <x:c r="F51" s="25" t="str">
        <x:v>rider</x:v>
      </x:c>
      <x:c r="G51" s="25" t="str">
        <x:v>Other</x:v>
      </x:c>
      <x:c r="H51" s="25" t="str">
        <x:v>Mumbai</x:v>
      </x:c>
      <x:c r="I51" s="25" t="str">
        <x:v>notsure</x:v>
      </x:c>
      <x:c r="J51" s="25" t="str">
        <x:v>yes</x:v>
      </x:c>
      <x:c r="K51" s="25" t="n">
        <x:v>1</x:v>
      </x:c>
      <x:c r="L51" s="26" t="str">
        <x:v>At times it takes unusually long time and we book uber under normal belief that the ride will be available within 2-3 minutes but at times it takes 10-15 minutes</x:v>
      </x:c>
      <x:c r="M51" s="26" t="str">
        <x:v>Like in a busy area of Juhu Tara Road, I wouldn’t expect that it takes more than five minutes to get a ride</x:v>
      </x:c>
      <x:c r="N51" s="26" t="str"/>
      <x:c r="O51" s="26" t="str"/>
      <x:c r="P51" s="26" t="str">
        <x:v>other</x:v>
      </x:c>
      <x:c r="Q51" s="26" t="str">
        <x:v>residential</x:v>
      </x:c>
      <x:c r="R51" s="26" t="str">
        <x:v>waited</x:v>
      </x:c>
      <x:c r="S51" s="26" t="str"/>
      <x:c r="T51" s="26" t="str">
        <x:v>gt15</x:v>
      </x:c>
      <x:c r="U51" s="26" t="str">
        <x:v>other</x:v>
      </x:c>
      <x:c r="V51" s="26" t="str">
        <x:v>yes</x:v>
      </x:c>
      <x:c r="W51" s="26" t="str"/>
      <x:c r="X51" s="25" t="str">
        <x:v>no</x:v>
      </x:c>
      <x:c r="Y51" s="25" t="str">
        <x:v>Partial detailed</x:v>
      </x:c>
      <x:c r="Z51" s="25" t="n">
        <x:v>0</x:v>
      </x:c>
      <x:c r="AA51" s="25" t="n">
        <x:v>0</x:v>
      </x:c>
      <x:c r="AB51" s="25" t="n">
        <x:v>1</x:v>
      </x:c>
      <x:c r="AC51" s="25" t="n">
        <x:v>1</x:v>
      </x:c>
      <x:c r="AD51" s="25" t="n">
        <x:v>0</x:v>
      </x:c>
      <x:c r="AE51" s="27" t="n">
        <x:v>0</x:v>
      </x:c>
    </x:row>
    <x:row r="52">
      <x:c r="A52" s="24" t="str">
        <x:v>R056</x:v>
      </x:c>
      <x:c r="B52" s="32" t="n">
        <x:v>46282.25619863426</x:v>
      </x:c>
      <x:c r="C52" s="25" t="n">
        <x:v>56</x:v>
      </x:c>
      <x:c r="D52" s="25" t="str">
        <x:v>Current</x:v>
      </x:c>
      <x:c r="E52" s="25" t="str">
        <x:v>en</x:v>
      </x:c>
      <x:c r="F52" s="25" t="str">
        <x:v>rider</x:v>
      </x:c>
      <x:c r="G52" s="25" t="str">
        <x:v>Hyderabad</x:v>
      </x:c>
      <x:c r="H52" s="25" t="str">
        <x:v>Hyderabad</x:v>
      </x:c>
      <x:c r="I52" s="25" t="str">
        <x:v>yes</x:v>
      </x:c>
      <x:c r="J52" s="25" t="str">
        <x:v>no</x:v>
      </x:c>
      <x:c r="K52" s="25" t="n">
        <x:v>0</x:v>
      </x:c>
      <x:c r="L52" s="26" t="str"/>
      <x:c r="M52" s="26" t="str"/>
      <x:c r="N52" s="26" t="str"/>
      <x:c r="O52" s="26" t="str"/>
      <x:c r="P52" s="26" t="str"/>
      <x:c r="Q52" s="26" t="str"/>
      <x:c r="R52" s="26" t="str"/>
      <x:c r="S52" s="26" t="str"/>
      <x:c r="T52" s="26" t="str"/>
      <x:c r="U52" s="26" t="str"/>
      <x:c r="V52" s="26" t="str"/>
      <x:c r="W52" s="26" t="str"/>
      <x:c r="X52" s="25" t="str">
        <x:v>yes</x:v>
      </x:c>
      <x:c r="Y52" s="25" t="str">
        <x:v>No issue detail</x:v>
      </x:c>
      <x:c r="Z52" s="25" t="n">
        <x:v>1</x:v>
      </x:c>
      <x:c r="AA52" s="25" t="n">
        <x:v>1</x:v>
      </x:c>
      <x:c r="AB52" s="25" t="n">
        <x:v>0</x:v>
      </x:c>
      <x:c r="AC52" s="25" t="n">
        <x:v>0</x:v>
      </x:c>
      <x:c r="AD52" s="25" t="n">
        <x:v>0</x:v>
      </x:c>
      <x:c r="AE52" s="27" t="n">
        <x:v>0</x:v>
      </x:c>
    </x:row>
    <x:row r="53">
      <x:c r="A53" s="24" t="str">
        <x:v>R057</x:v>
      </x:c>
      <x:c r="B53" s="32" t="n">
        <x:v>46282.25798686343</x:v>
      </x:c>
      <x:c r="C53" s="25" t="n">
        <x:v>57</x:v>
      </x:c>
      <x:c r="D53" s="25" t="str">
        <x:v>Current</x:v>
      </x:c>
      <x:c r="E53" s="25" t="str">
        <x:v>en</x:v>
      </x:c>
      <x:c r="F53" s="25" t="str">
        <x:v>rider</x:v>
      </x:c>
      <x:c r="G53" s="25" t="str">
        <x:v>Other</x:v>
      </x:c>
      <x:c r="H53" s="25" t="str">
        <x:v>Bangalore</x:v>
      </x:c>
      <x:c r="I53" s="25" t="str">
        <x:v>yes</x:v>
      </x:c>
      <x:c r="J53" s="25" t="str">
        <x:v>no</x:v>
      </x:c>
      <x:c r="K53" s="25" t="n">
        <x:v>0</x:v>
      </x:c>
      <x:c r="L53" s="26" t="str"/>
      <x:c r="M53" s="26" t="str"/>
      <x:c r="N53" s="26" t="str"/>
      <x:c r="O53" s="26" t="str"/>
      <x:c r="P53" s="26" t="str"/>
      <x:c r="Q53" s="26" t="str"/>
      <x:c r="R53" s="26" t="str"/>
      <x:c r="S53" s="26" t="str"/>
      <x:c r="T53" s="26" t="str"/>
      <x:c r="U53" s="26" t="str"/>
      <x:c r="V53" s="26" t="str"/>
      <x:c r="W53" s="26" t="str"/>
      <x:c r="X53" s="25" t="str">
        <x:v>no</x:v>
      </x:c>
      <x:c r="Y53" s="25" t="str">
        <x:v>No issue detail</x:v>
      </x:c>
      <x:c r="Z53" s="25" t="n">
        <x:v>1</x:v>
      </x:c>
      <x:c r="AA53" s="25" t="n">
        <x:v>0</x:v>
      </x:c>
      <x:c r="AB53" s="25" t="n">
        <x:v>0</x:v>
      </x:c>
      <x:c r="AC53" s="25" t="n">
        <x:v>0</x:v>
      </x:c>
      <x:c r="AD53" s="25" t="n">
        <x:v>0</x:v>
      </x:c>
      <x:c r="AE53" s="27" t="n">
        <x:v>0</x:v>
      </x:c>
    </x:row>
    <x:row r="54">
      <x:c r="A54" s="24" t="str">
        <x:v>R058</x:v>
      </x:c>
      <x:c r="B54" s="32" t="n">
        <x:v>46282.26836410879</x:v>
      </x:c>
      <x:c r="C54" s="25" t="n">
        <x:v>58</x:v>
      </x:c>
      <x:c r="D54" s="25" t="str">
        <x:v>Current</x:v>
      </x:c>
      <x:c r="E54" s="25" t="str">
        <x:v>en</x:v>
      </x:c>
      <x:c r="F54" s="25" t="str">
        <x:v>driver</x:v>
      </x:c>
      <x:c r="G54" s="25" t="str">
        <x:v>Other</x:v>
      </x:c>
      <x:c r="H54" s="25" t="str">
        <x:v>Other / not specified</x:v>
      </x:c>
      <x:c r="I54" s="25" t="str">
        <x:v>yes</x:v>
      </x:c>
      <x:c r="J54" s="25" t="str">
        <x:v>notsure</x:v>
      </x:c>
      <x:c r="K54" s="25" t="n">
        <x:v>1</x:v>
      </x:c>
      <x:c r="L54" s="26" t="str">
        <x:v>Good</x:v>
      </x:c>
      <x:c r="M54" s="26" t="str"/>
      <x:c r="N54" s="26" t="str"/>
      <x:c r="O54" s="26" t="str"/>
      <x:c r="P54" s="26" t="str">
        <x:v>pin_restricted, similar_gates</x:v>
      </x:c>
      <x:c r="Q54" s="26" t="str">
        <x:v>airport, station, residential</x:v>
      </x:c>
      <x:c r="R54" s="26" t="str">
        <x:v>called</x:v>
      </x:c>
      <x:c r="S54" s="26" t="str"/>
      <x:c r="T54" s="26" t="str">
        <x:v>lt2</x:v>
      </x:c>
      <x:c r="U54" s="26" t="str">
        <x:v>landmark</x:v>
      </x:c>
      <x:c r="V54" s="26" t="str">
        <x:v>no</x:v>
      </x:c>
      <x:c r="W54" s="26" t="str">
        <x:v>None</x:v>
      </x:c>
      <x:c r="X54" s="25" t="str">
        <x:v>yes</x:v>
      </x:c>
      <x:c r="Y54" s="25" t="str">
        <x:v>Structured only</x:v>
      </x:c>
      <x:c r="Z54" s="25" t="n">
        <x:v>1</x:v>
      </x:c>
      <x:c r="AA54" s="25" t="n">
        <x:v>0</x:v>
      </x:c>
      <x:c r="AB54" s="25" t="n">
        <x:v>0</x:v>
      </x:c>
      <x:c r="AC54" s="25" t="n">
        <x:v>1</x:v>
      </x:c>
      <x:c r="AD54" s="25" t="n">
        <x:v>0</x:v>
      </x:c>
      <x:c r="AE54" s="27" t="n">
        <x:v>0</x:v>
      </x:c>
    </x:row>
    <x:row r="55">
      <x:c r="A55" s="24" t="str">
        <x:v>R059</x:v>
      </x:c>
      <x:c r="B55" s="32" t="n">
        <x:v>46282.275743101854</x:v>
      </x:c>
      <x:c r="C55" s="25" t="n">
        <x:v>59</x:v>
      </x:c>
      <x:c r="D55" s="25" t="str">
        <x:v>Current</x:v>
      </x:c>
      <x:c r="E55" s="25" t="str">
        <x:v>en</x:v>
      </x:c>
      <x:c r="F55" s="25" t="str">
        <x:v>rider</x:v>
      </x:c>
      <x:c r="G55" s="25" t="str">
        <x:v>Hyderabad</x:v>
      </x:c>
      <x:c r="H55" s="25" t="str">
        <x:v>Hyderabad</x:v>
      </x:c>
      <x:c r="I55" s="25" t="str">
        <x:v>yes</x:v>
      </x:c>
      <x:c r="J55" s="25" t="str">
        <x:v>no</x:v>
      </x:c>
      <x:c r="K55" s="25" t="n">
        <x:v>0</x:v>
      </x:c>
      <x:c r="L55" s="26" t="str"/>
      <x:c r="M55" s="26" t="str"/>
      <x:c r="N55" s="26" t="str"/>
      <x:c r="O55" s="26" t="str"/>
      <x:c r="P55" s="26" t="str"/>
      <x:c r="Q55" s="26" t="str"/>
      <x:c r="R55" s="26" t="str"/>
      <x:c r="S55" s="26" t="str"/>
      <x:c r="T55" s="26" t="str"/>
      <x:c r="U55" s="26" t="str"/>
      <x:c r="V55" s="26" t="str"/>
      <x:c r="W55" s="26" t="str"/>
      <x:c r="X55" s="25" t="str">
        <x:v>no</x:v>
      </x:c>
      <x:c r="Y55" s="25" t="str">
        <x:v>No issue detail</x:v>
      </x:c>
      <x:c r="Z55" s="25" t="n">
        <x:v>1</x:v>
      </x:c>
      <x:c r="AA55" s="25" t="n">
        <x:v>1</x:v>
      </x:c>
      <x:c r="AB55" s="25" t="n">
        <x:v>0</x:v>
      </x:c>
      <x:c r="AC55" s="25" t="n">
        <x:v>0</x:v>
      </x:c>
      <x:c r="AD55" s="25" t="n">
        <x:v>0</x:v>
      </x:c>
      <x:c r="AE55" s="27" t="n">
        <x:v>0</x:v>
      </x:c>
    </x:row>
    <x:row r="56">
      <x:c r="A56" s="24" t="str">
        <x:v>R060</x:v>
      </x:c>
      <x:c r="B56" s="32" t="n">
        <x:v>46282.29526900463</x:v>
      </x:c>
      <x:c r="C56" s="25" t="n">
        <x:v>60</x:v>
      </x:c>
      <x:c r="D56" s="25" t="str">
        <x:v>Current</x:v>
      </x:c>
      <x:c r="E56" s="25" t="str">
        <x:v>en</x:v>
      </x:c>
      <x:c r="F56" s="25" t="str">
        <x:v>rider</x:v>
      </x:c>
      <x:c r="G56" s="25" t="str">
        <x:v>Other</x:v>
      </x:c>
      <x:c r="H56" s="25" t="str">
        <x:v>Other / not specified</x:v>
      </x:c>
      <x:c r="I56" s="25" t="str">
        <x:v>yes</x:v>
      </x:c>
      <x:c r="J56" s="25" t="str">
        <x:v>yes</x:v>
      </x:c>
      <x:c r="K56" s="25" t="n">
        <x:v>1</x:v>
      </x:c>
      <x:c r="L56" s="26" t="str">
        <x:v>Yes en number of times it was canceled</x:v>
      </x:c>
      <x:c r="M56" s="26" t="str">
        <x:v>When ride was booked and it was allocated to someone or picked by someone it should be done</x:v>
      </x:c>
      <x:c r="N56" s="26" t="str">
        <x:v>Every time they asking about drop location how much amount shows in app and your payment mode cash or Uber cash</x:v>
      </x:c>
      <x:c r="O56" s="26" t="str">
        <x:v>Slow driving when it booked to airport</x:v>
      </x:c>
      <x:c r="P56" s="26" t="str">
        <x:v>cancelled</x:v>
      </x:c>
      <x:c r="Q56" s="26" t="str">
        <x:v>airport</x:v>
      </x:c>
      <x:c r="R56" s="26" t="str">
        <x:v>messaged</x:v>
      </x:c>
      <x:c r="S56" s="26" t="str"/>
      <x:c r="T56" s="26" t="str">
        <x:v>lt2</x:v>
      </x:c>
      <x:c r="U56" s="26" t="str">
        <x:v>called_messaged</x:v>
      </x:c>
      <x:c r="V56" s="26" t="str">
        <x:v>yes</x:v>
      </x:c>
      <x:c r="W56" s="26" t="str">
        <x:v>Nothing</x:v>
      </x:c>
      <x:c r="X56" s="25" t="str">
        <x:v>no</x:v>
      </x:c>
      <x:c r="Y56" s="25" t="str">
        <x:v>Complete detailed</x:v>
      </x:c>
      <x:c r="Z56" s="25" t="n">
        <x:v>1</x:v>
      </x:c>
      <x:c r="AA56" s="25" t="n">
        <x:v>0</x:v>
      </x:c>
      <x:c r="AB56" s="25" t="n">
        <x:v>0</x:v>
      </x:c>
      <x:c r="AC56" s="25" t="n">
        <x:v>1</x:v>
      </x:c>
      <x:c r="AD56" s="25" t="n">
        <x:v>1</x:v>
      </x:c>
      <x:c r="AE56" s="27" t="n">
        <x:v>1</x:v>
      </x:c>
    </x:row>
    <x:row r="57">
      <x:c r="A57" s="24" t="str">
        <x:v>R061</x:v>
      </x:c>
      <x:c r="B57" s="32" t="n">
        <x:v>46282.30467439815</x:v>
      </x:c>
      <x:c r="C57" s="25" t="n">
        <x:v>61</x:v>
      </x:c>
      <x:c r="D57" s="25" t="str">
        <x:v>Current</x:v>
      </x:c>
      <x:c r="E57" s="25" t="str">
        <x:v>en</x:v>
      </x:c>
      <x:c r="F57" s="25" t="str">
        <x:v>rider</x:v>
      </x:c>
      <x:c r="G57" s="25" t="str">
        <x:v>Hyderabad</x:v>
      </x:c>
      <x:c r="H57" s="25" t="str">
        <x:v>Hyderabad</x:v>
      </x:c>
      <x:c r="I57" s="25" t="str">
        <x:v>no</x:v>
      </x:c>
      <x:c r="J57" s="25" t="str">
        <x:v>no</x:v>
      </x:c>
      <x:c r="K57" s="25" t="n">
        <x:v>0</x:v>
      </x:c>
      <x:c r="L57" s="26" t="str"/>
      <x:c r="M57" s="26" t="str"/>
      <x:c r="N57" s="26" t="str"/>
      <x:c r="O57" s="26" t="str"/>
      <x:c r="P57" s="26" t="str"/>
      <x:c r="Q57" s="26" t="str"/>
      <x:c r="R57" s="26" t="str"/>
      <x:c r="S57" s="26" t="str"/>
      <x:c r="T57" s="26" t="str"/>
      <x:c r="U57" s="26" t="str"/>
      <x:c r="V57" s="26" t="str"/>
      <x:c r="W57" s="26" t="str">
        <x:v>I always place a message on where i would stand with details</x:v>
      </x:c>
      <x:c r="X57" s="25" t="str">
        <x:v>no</x:v>
      </x:c>
      <x:c r="Y57" s="25" t="str">
        <x:v>Context only</x:v>
      </x:c>
      <x:c r="Z57" s="25" t="n">
        <x:v>0</x:v>
      </x:c>
      <x:c r="AA57" s="25" t="n">
        <x:v>1</x:v>
      </x:c>
      <x:c r="AB57" s="25" t="n">
        <x:v>0</x:v>
      </x:c>
      <x:c r="AC57" s="25" t="n">
        <x:v>0</x:v>
      </x:c>
      <x:c r="AD57" s="25" t="n">
        <x:v>0</x:v>
      </x:c>
      <x:c r="AE57" s="27" t="n">
        <x:v>0</x:v>
      </x:c>
    </x:row>
    <x:row r="58">
      <x:c r="A58" s="24" t="str">
        <x:v>R062</x:v>
      </x:c>
      <x:c r="B58" s="32" t="n">
        <x:v>46282.34715475694</x:v>
      </x:c>
      <x:c r="C58" s="25" t="n">
        <x:v>62</x:v>
      </x:c>
      <x:c r="D58" s="25" t="str">
        <x:v>Current</x:v>
      </x:c>
      <x:c r="E58" s="25" t="str">
        <x:v>en</x:v>
      </x:c>
      <x:c r="F58" s="25" t="str">
        <x:v>rider</x:v>
      </x:c>
      <x:c r="G58" s="25" t="str">
        <x:v>Hyderabad</x:v>
      </x:c>
      <x:c r="H58" s="25" t="str">
        <x:v>Hyderabad</x:v>
      </x:c>
      <x:c r="I58" s="25" t="str">
        <x:v>no</x:v>
      </x:c>
      <x:c r="J58" s="25" t="str">
        <x:v>no</x:v>
      </x:c>
      <x:c r="K58" s="25" t="n">
        <x:v>0</x:v>
      </x:c>
      <x:c r="L58" s="26" t="str"/>
      <x:c r="M58" s="26" t="str"/>
      <x:c r="N58" s="26" t="str"/>
      <x:c r="O58" s="26" t="str"/>
      <x:c r="P58" s="26" t="str"/>
      <x:c r="Q58" s="26" t="str"/>
      <x:c r="R58" s="26" t="str"/>
      <x:c r="S58" s="26" t="str"/>
      <x:c r="T58" s="26" t="str"/>
      <x:c r="U58" s="26" t="str"/>
      <x:c r="V58" s="26" t="str"/>
      <x:c r="W58" s="26" t="str"/>
      <x:c r="X58" s="25" t="str">
        <x:v>no</x:v>
      </x:c>
      <x:c r="Y58" s="25" t="str">
        <x:v>No issue detail</x:v>
      </x:c>
      <x:c r="Z58" s="25" t="n">
        <x:v>0</x:v>
      </x:c>
      <x:c r="AA58" s="25" t="n">
        <x:v>1</x:v>
      </x:c>
      <x:c r="AB58" s="25" t="n">
        <x:v>0</x:v>
      </x:c>
      <x:c r="AC58" s="25" t="n">
        <x:v>0</x:v>
      </x:c>
      <x:c r="AD58" s="25" t="n">
        <x:v>0</x:v>
      </x:c>
      <x:c r="AE58" s="27" t="n">
        <x:v>0</x:v>
      </x:c>
    </x:row>
    <x:row r="59">
      <x:c r="A59" s="24" t="str">
        <x:v>R063</x:v>
      </x:c>
      <x:c r="B59" s="32" t="n">
        <x:v>46282.35340480324</x:v>
      </x:c>
      <x:c r="C59" s="25" t="n">
        <x:v>63</x:v>
      </x:c>
      <x:c r="D59" s="25" t="str">
        <x:v>Current</x:v>
      </x:c>
      <x:c r="E59" s="25" t="str">
        <x:v>en</x:v>
      </x:c>
      <x:c r="F59" s="25" t="str">
        <x:v>rider</x:v>
      </x:c>
      <x:c r="G59" s="25" t="str">
        <x:v>Hyderabad</x:v>
      </x:c>
      <x:c r="H59" s="25" t="str">
        <x:v>Hyderabad</x:v>
      </x:c>
      <x:c r="I59" s="25" t="str">
        <x:v>yes</x:v>
      </x:c>
      <x:c r="J59" s="25" t="str">
        <x:v>yes</x:v>
      </x:c>
      <x:c r="K59" s="25" t="n">
        <x:v>1</x:v>
      </x:c>
      <x:c r="L59" s="26" t="str">
        <x:v>One month back</x:v>
      </x:c>
      <x:c r="M59" s="26" t="str">
        <x:v>He was delayed</x:v>
      </x:c>
      <x:c r="N59" s="26" t="str">
        <x:v>We talked to each other</x:v>
      </x:c>
      <x:c r="O59" s="26" t="str">
        <x:v>No clarity</x:v>
      </x:c>
      <x:c r="P59" s="26" t="str">
        <x:v>other</x:v>
      </x:c>
      <x:c r="Q59" s="26" t="str">
        <x:v>airport</x:v>
      </x:c>
      <x:c r="R59" s="26" t="str">
        <x:v>called</x:v>
      </x:c>
      <x:c r="S59" s="26" t="str"/>
      <x:c r="T59" s="26" t="str">
        <x:v>5to15</x:v>
      </x:c>
      <x:c r="U59" s="26" t="str">
        <x:v>called_messaged</x:v>
      </x:c>
      <x:c r="V59" s="26" t="str">
        <x:v>no</x:v>
      </x:c>
      <x:c r="W59" s="26" t="str"/>
      <x:c r="X59" s="25" t="str">
        <x:v>no</x:v>
      </x:c>
      <x:c r="Y59" s="25" t="str">
        <x:v>Complete brief</x:v>
      </x:c>
      <x:c r="Z59" s="25" t="n">
        <x:v>1</x:v>
      </x:c>
      <x:c r="AA59" s="25" t="n">
        <x:v>1</x:v>
      </x:c>
      <x:c r="AB59" s="25" t="n">
        <x:v>1</x:v>
      </x:c>
      <x:c r="AC59" s="25" t="n">
        <x:v>1</x:v>
      </x:c>
      <x:c r="AD59" s="25" t="n">
        <x:v>1</x:v>
      </x:c>
      <x:c r="AE59" s="27" t="n">
        <x:v>0</x:v>
      </x:c>
    </x:row>
    <x:row r="60">
      <x:c r="A60" s="24" t="str">
        <x:v>R064</x:v>
      </x:c>
      <x:c r="B60" s="32" t="n">
        <x:v>46282.42643353009</x:v>
      </x:c>
      <x:c r="C60" s="25" t="n">
        <x:v>64</x:v>
      </x:c>
      <x:c r="D60" s="25" t="str">
        <x:v>Current</x:v>
      </x:c>
      <x:c r="E60" s="25" t="str">
        <x:v>en</x:v>
      </x:c>
      <x:c r="F60" s="25" t="str">
        <x:v>rider</x:v>
      </x:c>
      <x:c r="G60" s="25" t="str">
        <x:v>Other</x:v>
      </x:c>
      <x:c r="H60" s="25" t="str">
        <x:v>Lucknow</x:v>
      </x:c>
      <x:c r="I60" s="25" t="str">
        <x:v>yes</x:v>
      </x:c>
      <x:c r="J60" s="25" t="str">
        <x:v>yes</x:v>
      </x:c>
      <x:c r="K60" s="25" t="n">
        <x:v>1</x:v>
      </x:c>
      <x:c r="L60" s="26" t="str">
        <x:v>Date i dont remember. The driver told he is coming n didnt turn up n cancelled finally</x:v>
      </x:c>
      <x:c r="M60" s="26" t="str">
        <x:v>Confusion from the moment driver was alloted . I thought he will come but he kept on keeping me waiting</x:v>
      </x:c>
      <x:c r="N60" s="26" t="str">
        <x:v>Spoke to him, he told he is coming n didnt, dont cancel, still didnt come</x:v>
      </x:c>
      <x:c r="O60" s="26" t="str">
        <x:v>No one to seek redressal or help</x:v>
      </x:c>
      <x:c r="P60" s="26" t="str">
        <x:v>cancelled</x:v>
      </x:c>
      <x:c r="Q60" s="26" t="str">
        <x:v>airport</x:v>
      </x:c>
      <x:c r="R60" s="26" t="str">
        <x:v>waited</x:v>
      </x:c>
      <x:c r="S60" s="26" t="str"/>
      <x:c r="T60" s="26" t="str">
        <x:v>gt15</x:v>
      </x:c>
      <x:c r="U60" s="26" t="str">
        <x:v>nothing</x:v>
      </x:c>
      <x:c r="V60" s="26" t="str">
        <x:v>yes</x:v>
      </x:c>
      <x:c r="W60" s="26" t="str">
        <x:v>Uber or Ola have no control over drivers. Grievance redressal has to b immediate</x:v>
      </x:c>
      <x:c r="X60" s="25" t="str">
        <x:v>yes</x:v>
      </x:c>
      <x:c r="Y60" s="25" t="str">
        <x:v>Complete detailed</x:v>
      </x:c>
      <x:c r="Z60" s="25" t="n">
        <x:v>1</x:v>
      </x:c>
      <x:c r="AA60" s="25" t="n">
        <x:v>0</x:v>
      </x:c>
      <x:c r="AB60" s="25" t="n">
        <x:v>1</x:v>
      </x:c>
      <x:c r="AC60" s="25" t="n">
        <x:v>1</x:v>
      </x:c>
      <x:c r="AD60" s="25" t="n">
        <x:v>1</x:v>
      </x:c>
      <x:c r="AE60" s="27" t="n">
        <x:v>1</x:v>
      </x:c>
    </x:row>
    <x:row r="61">
      <x:c r="A61" s="24" t="str">
        <x:v>R065</x:v>
      </x:c>
      <x:c r="B61" s="32" t="n">
        <x:v>46282.447343078704</x:v>
      </x:c>
      <x:c r="C61" s="25" t="n">
        <x:v>65</x:v>
      </x:c>
      <x:c r="D61" s="25" t="str">
        <x:v>Current</x:v>
      </x:c>
      <x:c r="E61" s="25" t="str">
        <x:v>en</x:v>
      </x:c>
      <x:c r="F61" s="25" t="str">
        <x:v>rider</x:v>
      </x:c>
      <x:c r="G61" s="25" t="str">
        <x:v>Hyderabad</x:v>
      </x:c>
      <x:c r="H61" s="25" t="str">
        <x:v>Hyderabad</x:v>
      </x:c>
      <x:c r="I61" s="25" t="str">
        <x:v>yes</x:v>
      </x:c>
      <x:c r="J61" s="25" t="str">
        <x:v>no</x:v>
      </x:c>
      <x:c r="K61" s="25" t="n">
        <x:v>0</x:v>
      </x:c>
      <x:c r="L61" s="26" t="str"/>
      <x:c r="M61" s="26" t="str"/>
      <x:c r="N61" s="26" t="str"/>
      <x:c r="O61" s="26" t="str"/>
      <x:c r="P61" s="26" t="str"/>
      <x:c r="Q61" s="26" t="str"/>
      <x:c r="R61" s="26" t="str"/>
      <x:c r="S61" s="26" t="str"/>
      <x:c r="T61" s="26" t="str"/>
      <x:c r="U61" s="26" t="str"/>
      <x:c r="V61" s="26" t="str"/>
      <x:c r="W61" s="26" t="str">
        <x:v>As per my experience reduce wating time</x:v>
      </x:c>
      <x:c r="X61" s="25" t="str">
        <x:v>no</x:v>
      </x:c>
      <x:c r="Y61" s="25" t="str">
        <x:v>Context only</x:v>
      </x:c>
      <x:c r="Z61" s="25" t="n">
        <x:v>1</x:v>
      </x:c>
      <x:c r="AA61" s="25" t="n">
        <x:v>1</x:v>
      </x:c>
      <x:c r="AB61" s="25" t="n">
        <x:v>0</x:v>
      </x:c>
      <x:c r="AC61" s="25" t="n">
        <x:v>0</x:v>
      </x:c>
      <x:c r="AD61" s="25" t="n">
        <x:v>0</x:v>
      </x:c>
      <x:c r="AE61" s="27" t="n">
        <x:v>0</x:v>
      </x:c>
    </x:row>
    <x:row r="62">
      <x:c r="A62" s="24" t="str">
        <x:v>R066</x:v>
      </x:c>
      <x:c r="B62" s="32" t="n">
        <x:v>46282.470619837964</x:v>
      </x:c>
      <x:c r="C62" s="25" t="n">
        <x:v>66</x:v>
      </x:c>
      <x:c r="D62" s="25" t="str">
        <x:v>Current</x:v>
      </x:c>
      <x:c r="E62" s="25" t="str">
        <x:v>en</x:v>
      </x:c>
      <x:c r="F62" s="25" t="str">
        <x:v>rider</x:v>
      </x:c>
      <x:c r="G62" s="25" t="str">
        <x:v>Other</x:v>
      </x:c>
      <x:c r="H62" s="25" t="str">
        <x:v>Visakhapatnam</x:v>
      </x:c>
      <x:c r="I62" s="25" t="str">
        <x:v>yes</x:v>
      </x:c>
      <x:c r="J62" s="25" t="str">
        <x:v>no</x:v>
      </x:c>
      <x:c r="K62" s="25" t="n">
        <x:v>0</x:v>
      </x:c>
      <x:c r="L62" s="26" t="str"/>
      <x:c r="M62" s="26" t="str"/>
      <x:c r="N62" s="26" t="str"/>
      <x:c r="O62" s="26" t="str"/>
      <x:c r="P62" s="26" t="str"/>
      <x:c r="Q62" s="26" t="str"/>
      <x:c r="R62" s="26" t="str"/>
      <x:c r="S62" s="26" t="str"/>
      <x:c r="T62" s="26" t="str"/>
      <x:c r="U62" s="26" t="str"/>
      <x:c r="V62" s="26" t="str"/>
      <x:c r="W62" s="26" t="str"/>
      <x:c r="X62" s="25" t="str">
        <x:v>yes</x:v>
      </x:c>
      <x:c r="Y62" s="25" t="str">
        <x:v>No issue detail</x:v>
      </x:c>
      <x:c r="Z62" s="25" t="n">
        <x:v>1</x:v>
      </x:c>
      <x:c r="AA62" s="25" t="n">
        <x:v>0</x:v>
      </x:c>
      <x:c r="AB62" s="25" t="n">
        <x:v>0</x:v>
      </x:c>
      <x:c r="AC62" s="25" t="n">
        <x:v>0</x:v>
      </x:c>
      <x:c r="AD62" s="25" t="n">
        <x:v>0</x:v>
      </x:c>
      <x:c r="AE62" s="27" t="n">
        <x:v>0</x:v>
      </x:c>
    </x:row>
    <x:row r="63">
      <x:c r="A63" s="24" t="str">
        <x:v>R067</x:v>
      </x:c>
      <x:c r="B63" s="32" t="n">
        <x:v>46282.472829976854</x:v>
      </x:c>
      <x:c r="C63" s="25" t="n">
        <x:v>67</x:v>
      </x:c>
      <x:c r="D63" s="25" t="str">
        <x:v>Current</x:v>
      </x:c>
      <x:c r="E63" s="25" t="str">
        <x:v>en</x:v>
      </x:c>
      <x:c r="F63" s="25" t="str">
        <x:v>rider</x:v>
      </x:c>
      <x:c r="G63" s="25" t="str">
        <x:v>Other</x:v>
      </x:c>
      <x:c r="H63" s="25" t="str">
        <x:v>Ernakulam</x:v>
      </x:c>
      <x:c r="I63" s="25" t="str">
        <x:v>yes</x:v>
      </x:c>
      <x:c r="J63" s="25" t="str">
        <x:v>yes</x:v>
      </x:c>
      <x:c r="K63" s="25" t="n">
        <x:v>1</x:v>
      </x:c>
      <x:c r="L63" s="26" t="str">
        <x:v>12th sept evening around 5.15pm from palarivattom to Elamakkara it took more than 10 minutes to capture the attn of driver , even though he was passing up snd down on cross road junction.</x:v>
      </x:c>
      <x:c r="M63" s="26" t="str">
        <x:v>The aap says he has arrived, but almost 10 minutes to locate each other</x:v>
      </x:c>
      <x:c r="N63" s="26" t="str">
        <x:v>We said 'hi, and got in</x:v>
      </x:c>
      <x:c r="O63" s="26" t="str">
        <x:v>Generally the driver cancels trip without no prior indication</x:v>
      </x:c>
      <x:c r="P63" s="26" t="str">
        <x:v>similar_gates</x:v>
      </x:c>
      <x:c r="Q63" s="26" t="str">
        <x:v>street</x:v>
      </x:c>
      <x:c r="R63" s="26" t="str">
        <x:v>called, moved, waited</x:v>
      </x:c>
      <x:c r="S63" s="26" t="str"/>
      <x:c r="T63" s="26" t="str">
        <x:v>5to15</x:v>
      </x:c>
      <x:c r="U63" s="26" t="str">
        <x:v>called_messaged</x:v>
      </x:c>
      <x:c r="V63" s="26" t="str">
        <x:v>yes</x:v>
      </x:c>
      <x:c r="W63" s="26" t="str"/>
      <x:c r="X63" s="25" t="str">
        <x:v>yes</x:v>
      </x:c>
      <x:c r="Y63" s="25" t="str">
        <x:v>Complete detailed</x:v>
      </x:c>
      <x:c r="Z63" s="25" t="n">
        <x:v>1</x:v>
      </x:c>
      <x:c r="AA63" s="25" t="n">
        <x:v>0</x:v>
      </x:c>
      <x:c r="AB63" s="25" t="n">
        <x:v>1</x:v>
      </x:c>
      <x:c r="AC63" s="25" t="n">
        <x:v>1</x:v>
      </x:c>
      <x:c r="AD63" s="25" t="n">
        <x:v>1</x:v>
      </x:c>
      <x:c r="AE63" s="27" t="n">
        <x:v>1</x:v>
      </x:c>
    </x:row>
    <x:row r="64">
      <x:c r="A64" s="28" t="str">
        <x:v>R068</x:v>
      </x:c>
      <x:c r="B64" s="33" t="n">
        <x:v>46282.50891619213</x:v>
      </x:c>
      <x:c r="C64" s="29" t="n">
        <x:v>68</x:v>
      </x:c>
      <x:c r="D64" s="29" t="str">
        <x:v>Current</x:v>
      </x:c>
      <x:c r="E64" s="29" t="str">
        <x:v>en</x:v>
      </x:c>
      <x:c r="F64" s="29" t="str">
        <x:v>rider</x:v>
      </x:c>
      <x:c r="G64" s="29" t="str">
        <x:v>Other</x:v>
      </x:c>
      <x:c r="H64" s="29" t="str">
        <x:v>Chandigarh</x:v>
      </x:c>
      <x:c r="I64" s="29" t="str">
        <x:v>no</x:v>
      </x:c>
      <x:c r="J64" s="29" t="str">
        <x:v>no</x:v>
      </x:c>
      <x:c r="K64" s="29" t="n">
        <x:v>0</x:v>
      </x:c>
      <x:c r="L64" s="30" t="str"/>
      <x:c r="M64" s="30" t="str"/>
      <x:c r="N64" s="30" t="str"/>
      <x:c r="O64" s="30" t="str"/>
      <x:c r="P64" s="30" t="str"/>
      <x:c r="Q64" s="30" t="str"/>
      <x:c r="R64" s="30" t="str"/>
      <x:c r="S64" s="30" t="str"/>
      <x:c r="T64" s="30" t="str"/>
      <x:c r="U64" s="30" t="str"/>
      <x:c r="V64" s="30" t="str"/>
      <x:c r="W64" s="30" t="str">
        <x:v>No</x:v>
      </x:c>
      <x:c r="X64" s="29" t="str">
        <x:v>no</x:v>
      </x:c>
      <x:c r="Y64" s="29" t="str">
        <x:v>No issue detail</x:v>
      </x:c>
      <x:c r="Z64" s="29" t="n">
        <x:v>0</x:v>
      </x:c>
      <x:c r="AA64" s="29" t="n">
        <x:v>0</x:v>
      </x:c>
      <x:c r="AB64" s="29" t="n">
        <x:v>0</x:v>
      </x:c>
      <x:c r="AC64" s="29" t="n">
        <x:v>0</x:v>
      </x:c>
      <x:c r="AD64" s="29" t="n">
        <x:v>0</x:v>
      </x:c>
      <x:c r="AE64" s="31" t="n">
        <x:v>0</x:v>
      </x:c>
    </x:row>
  </x:sheetData>
  <x:pageMargins left="0.7" right="0.7" top="0.75" bottom="0.75" header="0.3" footer="0.3"/>
</x:worksheet>
</file>

<file path=xl/worksheets/sheet4.xml><?xml version="1.0" encoding="utf-8"?>
<x:worksheet xmlns:x="http://schemas.openxmlformats.org/spreadsheetml/2006/main">
  <x:sheetPr>
    <x:tabColor rgb="FF1F4E78"/>
  </x:sheetPr>
  <x:sheetViews>
    <x:sheetView showGridLines="0" workbookViewId="0"/>
  </x:sheetViews>
  <x:sheetFormatPr defaultRowHeight="15"/>
  <x:cols>
    <x:col min="1" max="1" width="30" hidden="0" customWidth="1"/>
    <x:col min="2" max="2" width="12" hidden="0" customWidth="1"/>
    <x:col min="3" max="3" width="18" hidden="0" customWidth="1"/>
    <x:col min="4" max="4" width="15" hidden="0" customWidth="1"/>
    <x:col min="5" max="5" width="15" hidden="0" customWidth="1"/>
    <x:col min="6" max="6" width="12" hidden="0" customWidth="1"/>
    <x:col min="7" max="7" width="12" hidden="0" customWidth="1"/>
    <x:col min="8" max="8" width="12" hidden="0" customWidth="1"/>
    <x:col min="9" max="9" width="22" hidden="0" customWidth="1"/>
    <x:col min="10" max="10" width="14" hidden="0" customWidth="1"/>
    <x:col min="11" max="11" width="22" hidden="0" customWidth="1"/>
    <x:col min="12" max="12" width="14" hidden="0" customWidth="1"/>
  </x:cols>
  <x:sheetData>
    <x:row r="1">
      <x:c r="A1" s="34"/>
      <x:c r="B1" s="34"/>
      <x:c r="C1" s="34"/>
      <x:c r="D1" s="34"/>
      <x:c r="E1" s="34"/>
      <x:c r="F1" s="34"/>
      <x:c r="G1" s="34"/>
      <x:c r="H1" s="34"/>
      <x:c r="I1" s="34"/>
      <x:c r="J1" s="34"/>
      <x:c r="K1" s="34"/>
      <x:c r="L1" s="34"/>
    </x:row>
    <x:row r="2">
      <x:c r="A2" s="128" t="str">
        <x:v>Uber Pickup Survey Analytics</x:v>
      </x:c>
      <x:c r="B2" s="34"/>
      <x:c r="C2" s="34"/>
      <x:c r="D2" s="34"/>
      <x:c r="E2" s="34"/>
      <x:c r="F2" s="34"/>
      <x:c r="G2" s="34"/>
      <x:c r="H2" s="34"/>
      <x:c r="I2" s="34"/>
      <x:c r="J2" s="34"/>
      <x:c r="K2" s="34"/>
      <x:c r="L2" s="34"/>
    </x:row>
    <x:row r="3">
      <x:c r="A3" s="129" t="str">
        <x:v>Survey snapshot: 17 September 2026 | Test submissions excluded | Contact details omitted</x:v>
      </x:c>
      <x:c r="B3" s="34"/>
      <x:c r="C3" s="34"/>
      <x:c r="D3" s="34"/>
      <x:c r="E3" s="34"/>
      <x:c r="F3" s="34"/>
      <x:c r="G3" s="34"/>
      <x:c r="H3" s="34"/>
      <x:c r="I3" s="34"/>
      <x:c r="J3" s="34"/>
      <x:c r="K3" s="34"/>
      <x:c r="L3" s="34"/>
    </x:row>
    <x:row r="4">
      <x:c r="A4" s="130"/>
      <x:c r="B4" s="37"/>
      <x:c r="C4" s="37"/>
      <x:c r="D4" s="37"/>
      <x:c r="E4" s="37"/>
      <x:c r="F4" s="37"/>
      <x:c r="G4" s="37"/>
      <x:c r="H4" s="37"/>
      <x:c r="I4" s="37"/>
      <x:c r="J4" s="37"/>
      <x:c r="K4" s="37"/>
      <x:c r="L4" s="37"/>
    </x:row>
    <x:row r="5" ht="30" customHeight="1">
      <x:c r="A5" s="63" t="str">
        <x:v>Valid submissions</x:v>
      </x:c>
      <x:c r="B5" s="58"/>
      <x:c r="C5" s="63" t="str">
        <x:v>Recent four-wheel users</x:v>
      </x:c>
      <x:c r="D5" s="58"/>
      <x:c r="E5" s="63" t="str">
        <x:v>Difficulty among recent users</x:v>
      </x:c>
      <x:c r="F5" s="58"/>
      <x:c r="G5" s="63" t="str">
        <x:v>Hyderabad recent difficulty</x:v>
      </x:c>
      <x:c r="H5" s="58"/>
      <x:c r="I5" s="63" t="str">
        <x:v>Repeated among issue cases</x:v>
      </x:c>
      <x:c r="J5" s="58"/>
      <x:c r="K5" s="63" t="str">
        <x:v>Driver responses</x:v>
      </x:c>
      <x:c r="L5" s="58"/>
    </x:row>
    <x:row r="6" ht="30" customHeight="1">
      <x:c r="A6" s="64" t="n">
        <x:f>COUNTA('Normalized Data'!$A$2:$A$64)</x:f>
        <x:v>63</x:v>
      </x:c>
      <x:c r="B6" s="60"/>
      <x:c r="C6" s="64" t="n">
        <x:f>COUNTIFS('Normalized Data'!$I$2:$I$64,"yes")</x:f>
        <x:v>52</x:v>
      </x:c>
      <x:c r="D6" s="60"/>
      <x:c r="E6" s="64" t="n">
        <x:f>COUNTIFS('Normalized Data'!$I$2:$I$64,"yes",'Normalized Data'!$J$2:$J$64,"yes")+COUNTIFS('Normalized Data'!$I$2:$I$64,"yes",'Normalized Data'!$J$2:$J$64,"notsure")</x:f>
        <x:v>24</x:v>
      </x:c>
      <x:c r="F6" s="60"/>
      <x:c r="G6" s="64" t="n">
        <x:f>COUNTIFS('Normalized Data'!$G$2:$G$64,"Hyderabad",'Normalized Data'!$I$2:$I$64,"yes",'Normalized Data'!$J$2:$J$64,"yes")+COUNTIFS('Normalized Data'!$G$2:$G$64,"Hyderabad",'Normalized Data'!$I$2:$I$64,"yes",'Normalized Data'!$J$2:$J$64,"notsure")</x:f>
        <x:v>11</x:v>
      </x:c>
      <x:c r="H6" s="60"/>
      <x:c r="I6" s="64" t="n">
        <x:f>COUNTIFS('Normalized Data'!$K$2:$K$64,1,'Normalized Data'!$V$2:$V$64,"yes")</x:f>
        <x:v>23</x:v>
      </x:c>
      <x:c r="J6" s="60"/>
      <x:c r="K6" s="64" t="n">
        <x:f>COUNTIFS('Normalized Data'!$F$2:$F$64,"driver")</x:f>
        <x:v>4</x:v>
      </x:c>
      <x:c r="L6" s="60"/>
    </x:row>
    <x:row r="7" ht="24" customHeight="1">
      <x:c r="A7" s="65" t="str">
        <x:v>Likely non-test records</x:v>
      </x:c>
      <x:c r="B7" s="62"/>
      <x:c r="C7" s="65" t="str">
        <x:v>Relevant to defined scope</x:v>
      </x:c>
      <x:c r="D7" s="62"/>
      <x:c r="E7" s="65" t="str">
        <x:v>24 of 52 | 46.2%</x:v>
      </x:c>
      <x:c r="F7" s="62"/>
      <x:c r="G7" s="65" t="str">
        <x:v>11 of 27 | 40.7%</x:v>
      </x:c>
      <x:c r="H7" s="62"/>
      <x:c r="I7" s="65" t="str">
        <x:v>23 of 28 | 82.1%</x:v>
      </x:c>
      <x:c r="J7" s="62"/>
      <x:c r="K7" s="65" t="str">
        <x:v>4 of 63 | 6.3%</x:v>
      </x:c>
      <x:c r="L7" s="62"/>
    </x:row>
    <x:row r="8">
      <x:c r="A8" s="131"/>
      <x:c r="B8" s="34"/>
      <x:c r="C8" s="34"/>
      <x:c r="D8" s="34"/>
      <x:c r="E8" s="34"/>
      <x:c r="F8" s="34"/>
      <x:c r="G8" s="34"/>
      <x:c r="H8" s="34"/>
      <x:c r="I8" s="34"/>
      <x:c r="J8" s="34"/>
      <x:c r="K8" s="34"/>
      <x:c r="L8" s="34"/>
    </x:row>
    <x:row r="9">
      <x:c r="A9" s="131"/>
      <x:c r="B9" s="34"/>
      <x:c r="C9" s="34"/>
      <x:c r="D9" s="34"/>
      <x:c r="E9" s="34"/>
      <x:c r="F9" s="34"/>
      <x:c r="G9" s="34"/>
      <x:c r="H9" s="34"/>
      <x:c r="I9" s="34"/>
      <x:c r="J9" s="34"/>
      <x:c r="K9" s="34"/>
      <x:c r="L9" s="34"/>
    </x:row>
    <x:row r="10">
      <x:c r="A10" s="71" t="str">
        <x:v>Scope and prevalence</x:v>
      </x:c>
      <x:c r="B10" s="72"/>
      <x:c r="C10" s="72"/>
      <x:c r="D10" s="72"/>
      <x:c r="E10" s="72"/>
      <x:c r="F10" s="72"/>
      <x:c r="G10" s="72"/>
      <x:c r="H10" s="72"/>
      <x:c r="I10" s="72"/>
      <x:c r="J10" s="72"/>
      <x:c r="K10" s="72"/>
      <x:c r="L10" s="73"/>
    </x:row>
    <x:row r="11">
      <x:c r="A11" s="80" t="str">
        <x:v>Response stage</x:v>
      </x:c>
      <x:c r="B11" s="81" t="str">
        <x:v>Count</x:v>
      </x:c>
      <x:c r="C11" s="34"/>
      <x:c r="D11" s="34"/>
      <x:c r="E11" s="34"/>
      <x:c r="F11" s="34"/>
      <x:c r="G11" s="34"/>
      <x:c r="H11" s="34"/>
      <x:c r="I11" s="80" t="str">
        <x:v>City group</x:v>
      </x:c>
      <x:c r="J11" s="102" t="str">
        <x:v>Issue / unsure</x:v>
      </x:c>
      <x:c r="K11" s="102" t="str">
        <x:v>No difficulty</x:v>
      </x:c>
      <x:c r="L11" s="81" t="str">
        <x:v>Issue rate (all)</x:v>
      </x:c>
    </x:row>
    <x:row r="12">
      <x:c r="A12" s="94" t="str">
        <x:v>Valid submissions</x:v>
      </x:c>
      <x:c r="B12" s="97" t="n">
        <x:f>COUNTA('Normalized Data'!$A$2:$A$64)</x:f>
        <x:v>63</x:v>
      </x:c>
      <x:c r="C12" s="34"/>
      <x:c r="D12" s="34"/>
      <x:c r="E12" s="34"/>
      <x:c r="F12" s="34"/>
      <x:c r="G12" s="34"/>
      <x:c r="H12" s="34"/>
      <x:c r="I12" s="88" t="str">
        <x:v>Hyderabad</x:v>
      </x:c>
      <x:c r="J12" s="106" t="n">
        <x:f>COUNTIFS('Normalized Data'!$G$2:$G$64,"Hyderabad",'Normalized Data'!$K$2:$K$64,1)</x:f>
        <x:v>12</x:v>
      </x:c>
      <x:c r="K12" s="106" t="n">
        <x:f>COUNTIFS('Normalized Data'!$G$2:$G$64,"Hyderabad",'Normalized Data'!$K$2:$K$64,0)</x:f>
        <x:v>21</x:v>
      </x:c>
      <x:c r="L12" s="109" t="n">
        <x:f>J12/(J12+K12)</x:f>
        <x:v>0.36363636363636365</x:v>
      </x:c>
    </x:row>
    <x:row r="13">
      <x:c r="A13" s="95" t="str">
        <x:v>Recent four-wheel users</x:v>
      </x:c>
      <x:c r="B13" s="98" t="n">
        <x:f>COUNTIFS('Normalized Data'!$I$2:$I$64,"yes")</x:f>
        <x:v>52</x:v>
      </x:c>
      <x:c r="C13" s="34"/>
      <x:c r="D13" s="34"/>
      <x:c r="E13" s="34"/>
      <x:c r="F13" s="34"/>
      <x:c r="G13" s="34"/>
      <x:c r="H13" s="34"/>
      <x:c r="I13" s="90" t="str">
        <x:v>Other cities</x:v>
      </x:c>
      <x:c r="J13" s="107" t="n">
        <x:f>COUNTIFS('Normalized Data'!$G$2:$G$64,"Other",'Normalized Data'!$K$2:$K$64,1)</x:f>
        <x:v>16</x:v>
      </x:c>
      <x:c r="K13" s="107" t="n">
        <x:f>COUNTIFS('Normalized Data'!$G$2:$G$64,"Other",'Normalized Data'!$K$2:$K$64,0)</x:f>
        <x:v>14</x:v>
      </x:c>
      <x:c r="L13" s="110" t="n">
        <x:f>J13/(J13+K13)</x:f>
        <x:v>0.5333333333333333</x:v>
      </x:c>
    </x:row>
    <x:row r="14">
      <x:c r="A14" s="95" t="str">
        <x:v>Recent users reporting difficulty</x:v>
      </x:c>
      <x:c r="B14" s="98" t="n">
        <x:f>COUNTIFS('Normalized Data'!$I$2:$I$64,"yes",'Normalized Data'!$J$2:$J$64,"yes")+COUNTIFS('Normalized Data'!$I$2:$I$64,"yes",'Normalized Data'!$J$2:$J$64,"notsure")</x:f>
        <x:v>24</x:v>
      </x:c>
      <x:c r="C14" s="34"/>
      <x:c r="D14" s="34"/>
      <x:c r="E14" s="34"/>
      <x:c r="F14" s="34"/>
      <x:c r="G14" s="34"/>
      <x:c r="H14" s="34"/>
      <x:c r="I14" s="92" t="str">
        <x:v>Overall</x:v>
      </x:c>
      <x:c r="J14" s="108" t="n">
        <x:f>COUNTIFS('Normalized Data'!$K$2:$K$64,1)</x:f>
        <x:v>28</x:v>
      </x:c>
      <x:c r="K14" s="108" t="n">
        <x:f>COUNTIFS('Normalized Data'!$K$2:$K$64,0)</x:f>
        <x:v>35</x:v>
      </x:c>
      <x:c r="L14" s="111" t="n">
        <x:f>J14/(J14+K14)</x:f>
        <x:v>0.4444444444444444</x:v>
      </x:c>
    </x:row>
    <x:row r="15">
      <x:c r="A15" s="95" t="str">
        <x:v>Hyderabad recent users</x:v>
      </x:c>
      <x:c r="B15" s="98" t="n">
        <x:f>COUNTIFS('Normalized Data'!$G$2:$G$64,"Hyderabad",'Normalized Data'!$I$2:$I$64,"yes")</x:f>
        <x:v>27</x:v>
      </x:c>
      <x:c r="C15" s="34"/>
      <x:c r="D15" s="34"/>
      <x:c r="E15" s="34"/>
      <x:c r="F15" s="34"/>
      <x:c r="G15" s="34"/>
      <x:c r="H15" s="34"/>
      <x:c r="I15" s="34"/>
      <x:c r="J15" s="34"/>
      <x:c r="K15" s="34"/>
      <x:c r="L15" s="34"/>
    </x:row>
    <x:row r="16">
      <x:c r="A16" s="96" t="str">
        <x:v>Hyderabad recent users reporting difficulty</x:v>
      </x:c>
      <x:c r="B16" s="99" t="n">
        <x:f>COUNTIFS('Normalized Data'!$G$2:$G$64,"Hyderabad",'Normalized Data'!$I$2:$I$64,"yes",'Normalized Data'!$J$2:$J$64,"yes")+COUNTIFS('Normalized Data'!$G$2:$G$64,"Hyderabad",'Normalized Data'!$I$2:$I$64,"yes",'Normalized Data'!$J$2:$J$64,"notsure")</x:f>
        <x:v>11</x:v>
      </x:c>
      <x:c r="C16" s="34"/>
      <x:c r="D16" s="34"/>
      <x:c r="E16" s="34"/>
      <x:c r="F16" s="34"/>
      <x:c r="G16" s="34"/>
      <x:c r="H16" s="34"/>
      <x:c r="I16" s="34"/>
      <x:c r="J16" s="34"/>
      <x:c r="K16" s="34"/>
      <x:c r="L16" s="34"/>
    </x:row>
    <x:row r="17">
      <x:c r="A17" s="131"/>
      <x:c r="B17" s="34"/>
      <x:c r="C17" s="34"/>
      <x:c r="D17" s="34"/>
      <x:c r="E17" s="34"/>
      <x:c r="F17" s="34"/>
      <x:c r="G17" s="34"/>
      <x:c r="H17" s="34"/>
      <x:c r="I17" s="34"/>
      <x:c r="J17" s="34"/>
      <x:c r="K17" s="34"/>
      <x:c r="L17" s="34"/>
    </x:row>
    <x:row r="18">
      <x:c r="A18" s="131"/>
      <x:c r="B18" s="34"/>
      <x:c r="C18" s="34"/>
      <x:c r="D18" s="34"/>
      <x:c r="E18" s="34"/>
      <x:c r="F18" s="34"/>
      <x:c r="G18" s="34"/>
      <x:c r="H18" s="34"/>
      <x:c r="I18" s="34"/>
      <x:c r="J18" s="34"/>
      <x:c r="K18" s="34"/>
      <x:c r="L18" s="34"/>
    </x:row>
    <x:row r="19">
      <x:c r="A19" s="131"/>
      <x:c r="B19" s="34"/>
      <x:c r="C19" s="34"/>
      <x:c r="D19" s="34"/>
      <x:c r="E19" s="34"/>
      <x:c r="F19" s="34"/>
      <x:c r="G19" s="34"/>
      <x:c r="H19" s="34"/>
      <x:c r="I19" s="34"/>
      <x:c r="J19" s="34"/>
      <x:c r="K19" s="34"/>
      <x:c r="L19" s="34"/>
    </x:row>
    <x:row r="20">
      <x:c r="A20" s="131"/>
      <x:c r="B20" s="34"/>
      <x:c r="C20" s="34"/>
      <x:c r="D20" s="34"/>
      <x:c r="E20" s="34"/>
      <x:c r="F20" s="34"/>
      <x:c r="G20" s="34"/>
      <x:c r="H20" s="34"/>
      <x:c r="I20" s="34"/>
      <x:c r="J20" s="34"/>
      <x:c r="K20" s="34"/>
      <x:c r="L20" s="34"/>
    </x:row>
    <x:row r="21">
      <x:c r="A21" s="131"/>
      <x:c r="B21" s="34"/>
      <x:c r="C21" s="34"/>
      <x:c r="D21" s="34"/>
      <x:c r="E21" s="34"/>
      <x:c r="F21" s="34"/>
      <x:c r="G21" s="34"/>
      <x:c r="H21" s="34"/>
      <x:c r="I21" s="34"/>
      <x:c r="J21" s="34"/>
      <x:c r="K21" s="34"/>
      <x:c r="L21" s="34"/>
    </x:row>
    <x:row r="22">
      <x:c r="A22" s="131"/>
      <x:c r="B22" s="34"/>
      <x:c r="C22" s="34"/>
      <x:c r="D22" s="34"/>
      <x:c r="E22" s="34"/>
      <x:c r="F22" s="34"/>
      <x:c r="G22" s="34"/>
      <x:c r="H22" s="34"/>
      <x:c r="I22" s="34"/>
      <x:c r="J22" s="34"/>
      <x:c r="K22" s="34"/>
      <x:c r="L22" s="34"/>
    </x:row>
    <x:row r="23">
      <x:c r="A23" s="131"/>
      <x:c r="B23" s="34"/>
      <x:c r="C23" s="34"/>
      <x:c r="D23" s="34"/>
      <x:c r="E23" s="34"/>
      <x:c r="F23" s="34"/>
      <x:c r="G23" s="34"/>
      <x:c r="H23" s="34"/>
      <x:c r="I23" s="34"/>
      <x:c r="J23" s="34"/>
      <x:c r="K23" s="34"/>
      <x:c r="L23" s="34"/>
    </x:row>
    <x:row r="24">
      <x:c r="A24" s="131"/>
      <x:c r="B24" s="34"/>
      <x:c r="C24" s="34"/>
      <x:c r="D24" s="34"/>
      <x:c r="E24" s="34"/>
      <x:c r="F24" s="34"/>
      <x:c r="G24" s="34"/>
      <x:c r="H24" s="34"/>
      <x:c r="I24" s="34"/>
      <x:c r="J24" s="34"/>
      <x:c r="K24" s="34"/>
      <x:c r="L24" s="34"/>
    </x:row>
    <x:row r="25">
      <x:c r="A25" s="71" t="str">
        <x:v>Problem locations among 28 issue-reporting responses</x:v>
      </x:c>
      <x:c r="B25" s="72"/>
      <x:c r="C25" s="72"/>
      <x:c r="D25" s="72"/>
      <x:c r="E25" s="72"/>
      <x:c r="F25" s="72"/>
      <x:c r="G25" s="72"/>
      <x:c r="H25" s="72"/>
      <x:c r="I25" s="72"/>
      <x:c r="J25" s="72"/>
      <x:c r="K25" s="72"/>
      <x:c r="L25" s="73"/>
    </x:row>
    <x:row r="26">
      <x:c r="A26" s="80" t="str">
        <x:v>Location</x:v>
      </x:c>
      <x:c r="B26" s="81" t="str">
        <x:v>Mentions</x:v>
      </x:c>
      <x:c r="C26" s="34"/>
      <x:c r="D26" s="34"/>
      <x:c r="E26" s="34"/>
      <x:c r="F26" s="34"/>
      <x:c r="G26" s="34"/>
      <x:c r="H26" s="34"/>
      <x:c r="I26" s="34"/>
      <x:c r="J26" s="34"/>
      <x:c r="K26" s="34"/>
      <x:c r="L26" s="34"/>
    </x:row>
    <x:row r="27">
      <x:c r="A27" s="88" t="str">
        <x:v>Airport</x:v>
      </x:c>
      <x:c r="B27" s="89" t="n">
        <x:v>10</x:v>
      </x:c>
      <x:c r="C27" s="34"/>
      <x:c r="D27" s="34"/>
      <x:c r="E27" s="34"/>
      <x:c r="F27" s="34"/>
      <x:c r="G27" s="34"/>
      <x:c r="H27" s="34"/>
      <x:c r="I27" s="34"/>
      <x:c r="J27" s="34"/>
      <x:c r="K27" s="34"/>
      <x:c r="L27" s="34"/>
    </x:row>
    <x:row r="28">
      <x:c r="A28" s="90" t="str">
        <x:v>Residential / gated community</x:v>
      </x:c>
      <x:c r="B28" s="91" t="n">
        <x:v>7</x:v>
      </x:c>
      <x:c r="C28" s="34"/>
      <x:c r="D28" s="34"/>
      <x:c r="E28" s="34"/>
      <x:c r="F28" s="34"/>
      <x:c r="G28" s="34"/>
      <x:c r="H28" s="34"/>
      <x:c r="I28" s="34"/>
      <x:c r="J28" s="34"/>
      <x:c r="K28" s="34"/>
      <x:c r="L28" s="34"/>
    </x:row>
    <x:row r="29">
      <x:c r="A29" s="90" t="str">
        <x:v>Shopping mall</x:v>
      </x:c>
      <x:c r="B29" s="91" t="n">
        <x:v>6</x:v>
      </x:c>
      <x:c r="C29" s="34"/>
      <x:c r="D29" s="34"/>
      <x:c r="E29" s="34"/>
      <x:c r="F29" s="34"/>
      <x:c r="G29" s="34"/>
      <x:c r="H29" s="34"/>
      <x:c r="I29" s="34"/>
      <x:c r="J29" s="34"/>
      <x:c r="K29" s="34"/>
      <x:c r="L29" s="34"/>
    </x:row>
    <x:row r="30">
      <x:c r="A30" s="90" t="str">
        <x:v>Office / tech campus</x:v>
      </x:c>
      <x:c r="B30" s="91" t="n">
        <x:v>6</x:v>
      </x:c>
      <x:c r="C30" s="34"/>
      <x:c r="D30" s="34"/>
      <x:c r="E30" s="34"/>
      <x:c r="F30" s="34"/>
      <x:c r="G30" s="34"/>
      <x:c r="H30" s="34"/>
      <x:c r="I30" s="34"/>
      <x:c r="J30" s="34"/>
      <x:c r="K30" s="34"/>
      <x:c r="L30" s="34"/>
    </x:row>
    <x:row r="31">
      <x:c r="A31" s="90" t="str">
        <x:v>Metro / railway station</x:v>
      </x:c>
      <x:c r="B31" s="91" t="n">
        <x:v>5</x:v>
      </x:c>
      <x:c r="C31" s="34"/>
      <x:c r="D31" s="34"/>
      <x:c r="E31" s="34"/>
      <x:c r="F31" s="34"/>
      <x:c r="G31" s="34"/>
      <x:c r="H31" s="34"/>
      <x:c r="I31" s="34"/>
      <x:c r="J31" s="34"/>
      <x:c r="K31" s="34"/>
      <x:c r="L31" s="34"/>
    </x:row>
    <x:row r="32">
      <x:c r="A32" s="90" t="str">
        <x:v>Hotel / event venue</x:v>
      </x:c>
      <x:c r="B32" s="91" t="n">
        <x:v>2</x:v>
      </x:c>
      <x:c r="C32" s="34"/>
      <x:c r="D32" s="34"/>
      <x:c r="E32" s="34"/>
      <x:c r="F32" s="34"/>
      <x:c r="G32" s="34"/>
      <x:c r="H32" s="34"/>
      <x:c r="I32" s="34"/>
      <x:c r="J32" s="34"/>
      <x:c r="K32" s="34"/>
      <x:c r="L32" s="34"/>
    </x:row>
    <x:row r="33">
      <x:c r="A33" s="90" t="str">
        <x:v>Busy street</x:v>
      </x:c>
      <x:c r="B33" s="91" t="n">
        <x:v>3</x:v>
      </x:c>
      <x:c r="C33" s="34"/>
      <x:c r="D33" s="34"/>
      <x:c r="E33" s="34"/>
      <x:c r="F33" s="34"/>
      <x:c r="G33" s="34"/>
      <x:c r="H33" s="34"/>
      <x:c r="I33" s="34"/>
      <x:c r="J33" s="34"/>
      <x:c r="K33" s="34"/>
      <x:c r="L33" s="34"/>
    </x:row>
    <x:row r="34">
      <x:c r="A34" s="92" t="str">
        <x:v>Hospital</x:v>
      </x:c>
      <x:c r="B34" s="93" t="n">
        <x:v>1</x:v>
      </x:c>
      <x:c r="C34" s="34"/>
      <x:c r="D34" s="34"/>
      <x:c r="E34" s="34"/>
      <x:c r="F34" s="34"/>
      <x:c r="G34" s="34"/>
      <x:c r="H34" s="34"/>
      <x:c r="I34" s="34"/>
      <x:c r="J34" s="34"/>
      <x:c r="K34" s="34"/>
      <x:c r="L34" s="34"/>
    </x:row>
    <x:row r="35">
      <x:c r="A35" s="131"/>
      <x:c r="B35" s="34"/>
      <x:c r="C35" s="34"/>
      <x:c r="D35" s="34"/>
      <x:c r="E35" s="34"/>
      <x:c r="F35" s="34"/>
      <x:c r="G35" s="34"/>
      <x:c r="H35" s="34"/>
      <x:c r="I35" s="34"/>
      <x:c r="J35" s="34"/>
      <x:c r="K35" s="34"/>
      <x:c r="L35" s="34"/>
    </x:row>
    <x:row r="36">
      <x:c r="A36" s="131"/>
      <x:c r="B36" s="34"/>
      <x:c r="C36" s="34"/>
      <x:c r="D36" s="34"/>
      <x:c r="E36" s="34"/>
      <x:c r="F36" s="34"/>
      <x:c r="G36" s="34"/>
      <x:c r="H36" s="34"/>
      <x:c r="I36" s="34"/>
      <x:c r="J36" s="34"/>
      <x:c r="K36" s="34"/>
      <x:c r="L36" s="34"/>
    </x:row>
    <x:row r="37">
      <x:c r="A37" s="131"/>
      <x:c r="B37" s="34"/>
      <x:c r="C37" s="34"/>
      <x:c r="D37" s="34"/>
      <x:c r="E37" s="34"/>
      <x:c r="F37" s="34"/>
      <x:c r="G37" s="34"/>
      <x:c r="H37" s="34"/>
      <x:c r="I37" s="34"/>
      <x:c r="J37" s="34"/>
      <x:c r="K37" s="34"/>
      <x:c r="L37" s="34"/>
    </x:row>
    <x:row r="38">
      <x:c r="A38" s="131"/>
      <x:c r="B38" s="34"/>
      <x:c r="C38" s="34"/>
      <x:c r="D38" s="34"/>
      <x:c r="E38" s="34"/>
      <x:c r="F38" s="34"/>
      <x:c r="G38" s="34"/>
      <x:c r="H38" s="34"/>
      <x:c r="I38" s="34"/>
      <x:c r="J38" s="34"/>
      <x:c r="K38" s="34"/>
      <x:c r="L38" s="34"/>
    </x:row>
    <x:row r="39">
      <x:c r="A39" s="131"/>
      <x:c r="B39" s="34"/>
      <x:c r="C39" s="34"/>
      <x:c r="D39" s="34"/>
      <x:c r="E39" s="34"/>
      <x:c r="F39" s="34"/>
      <x:c r="G39" s="34"/>
      <x:c r="H39" s="34"/>
      <x:c r="I39" s="34"/>
      <x:c r="J39" s="34"/>
      <x:c r="K39" s="34"/>
      <x:c r="L39" s="34"/>
    </x:row>
    <x:row r="40">
      <x:c r="A40" s="131"/>
      <x:c r="B40" s="34"/>
      <x:c r="C40" s="34"/>
      <x:c r="D40" s="34"/>
      <x:c r="E40" s="34"/>
      <x:c r="F40" s="34"/>
      <x:c r="G40" s="34"/>
      <x:c r="H40" s="34"/>
      <x:c r="I40" s="34"/>
      <x:c r="J40" s="34"/>
      <x:c r="K40" s="34"/>
      <x:c r="L40" s="34"/>
    </x:row>
    <x:row r="41">
      <x:c r="A41" s="131"/>
      <x:c r="B41" s="34"/>
      <x:c r="C41" s="34"/>
      <x:c r="D41" s="34"/>
      <x:c r="E41" s="34"/>
      <x:c r="F41" s="34"/>
      <x:c r="G41" s="34"/>
      <x:c r="H41" s="34"/>
      <x:c r="I41" s="34"/>
      <x:c r="J41" s="34"/>
      <x:c r="K41" s="34"/>
      <x:c r="L41" s="34"/>
    </x:row>
    <x:row r="42">
      <x:c r="A42" s="131"/>
      <x:c r="B42" s="34"/>
      <x:c r="C42" s="34"/>
      <x:c r="D42" s="34"/>
      <x:c r="E42" s="34"/>
      <x:c r="F42" s="34"/>
      <x:c r="G42" s="34"/>
      <x:c r="H42" s="34"/>
      <x:c r="I42" s="34"/>
      <x:c r="J42" s="34"/>
      <x:c r="K42" s="34"/>
      <x:c r="L42" s="34"/>
    </x:row>
    <x:row r="43">
      <x:c r="A43" s="71" t="str">
        <x:v>Actions, recovery and time lost</x:v>
      </x:c>
      <x:c r="B43" s="72"/>
      <x:c r="C43" s="72"/>
      <x:c r="D43" s="72"/>
      <x:c r="E43" s="72"/>
      <x:c r="F43" s="72"/>
      <x:c r="G43" s="72"/>
      <x:c r="H43" s="72"/>
      <x:c r="I43" s="72"/>
      <x:c r="J43" s="72"/>
      <x:c r="K43" s="72"/>
      <x:c r="L43" s="73"/>
    </x:row>
    <x:row r="44">
      <x:c r="A44" s="80" t="str">
        <x:v>Action taken</x:v>
      </x:c>
      <x:c r="B44" s="81" t="str">
        <x:v>Mentions</x:v>
      </x:c>
      <x:c r="C44" s="34"/>
      <x:c r="D44" s="34"/>
      <x:c r="E44" s="34"/>
      <x:c r="F44" s="34"/>
      <x:c r="G44" s="34"/>
      <x:c r="H44" s="34"/>
      <x:c r="I44" s="80" t="str">
        <x:v>What helped</x:v>
      </x:c>
      <x:c r="J44" s="81" t="str">
        <x:v>Mentions</x:v>
      </x:c>
      <x:c r="K44" s="80" t="str">
        <x:v>Extra time (current issue cases)</x:v>
      </x:c>
      <x:c r="L44" s="81" t="str">
        <x:v>Count</x:v>
      </x:c>
    </x:row>
    <x:row r="45">
      <x:c r="A45" s="88" t="str">
        <x:v>Called</x:v>
      </x:c>
      <x:c r="B45" s="89" t="n">
        <x:v>17</x:v>
      </x:c>
      <x:c r="C45" s="34"/>
      <x:c r="D45" s="34"/>
      <x:c r="E45" s="34"/>
      <x:c r="F45" s="34"/>
      <x:c r="G45" s="34"/>
      <x:c r="H45" s="34"/>
      <x:c r="I45" s="88" t="str">
        <x:v>Calling or messaging</x:v>
      </x:c>
      <x:c r="J45" s="89" t="n">
        <x:v>20</x:v>
      </x:c>
      <x:c r="K45" s="88" t="str">
        <x:v>Less than 2 minutes</x:v>
      </x:c>
      <x:c r="L45" s="89" t="n">
        <x:v>2</x:v>
      </x:c>
    </x:row>
    <x:row r="46">
      <x:c r="A46" s="90" t="str">
        <x:v>Moved</x:v>
      </x:c>
      <x:c r="B46" s="91" t="n">
        <x:v>8</x:v>
      </x:c>
      <x:c r="C46" s="34"/>
      <x:c r="D46" s="34"/>
      <x:c r="E46" s="34"/>
      <x:c r="F46" s="34"/>
      <x:c r="G46" s="34"/>
      <x:c r="H46" s="34"/>
      <x:c r="I46" s="90" t="str">
        <x:v>Nothing helped</x:v>
      </x:c>
      <x:c r="J46" s="91" t="n">
        <x:v>6</x:v>
      </x:c>
      <x:c r="K46" s="90" t="str">
        <x:v>2–5 minutes</x:v>
      </x:c>
      <x:c r="L46" s="91" t="n">
        <x:v>1</x:v>
      </x:c>
    </x:row>
    <x:row r="47">
      <x:c r="A47" s="90" t="str">
        <x:v>Waited</x:v>
      </x:c>
      <x:c r="B47" s="91" t="n">
        <x:v>9</x:v>
      </x:c>
      <x:c r="C47" s="34"/>
      <x:c r="D47" s="34"/>
      <x:c r="E47" s="34"/>
      <x:c r="F47" s="34"/>
      <x:c r="G47" s="34"/>
      <x:c r="H47" s="34"/>
      <x:c r="I47" s="90" t="str">
        <x:v>Shared landmark</x:v>
      </x:c>
      <x:c r="J47" s="91" t="n">
        <x:v>4</x:v>
      </x:c>
      <x:c r="K47" s="90" t="str">
        <x:v>5–15 minutes</x:v>
      </x:c>
      <x:c r="L47" s="91" t="n">
        <x:v>3</x:v>
      </x:c>
    </x:row>
    <x:row r="48">
      <x:c r="A48" s="90" t="str">
        <x:v>Messaged</x:v>
      </x:c>
      <x:c r="B48" s="91" t="n">
        <x:v>5</x:v>
      </x:c>
      <x:c r="C48" s="34"/>
      <x:c r="D48" s="34"/>
      <x:c r="E48" s="34"/>
      <x:c r="F48" s="34"/>
      <x:c r="G48" s="34"/>
      <x:c r="H48" s="34"/>
      <x:c r="I48" s="90" t="str">
        <x:v>Driver moved closer</x:v>
      </x:c>
      <x:c r="J48" s="91" t="n">
        <x:v>3</x:v>
      </x:c>
      <x:c r="K48" s="90" t="str">
        <x:v>More than 15 minutes</x:v>
      </x:c>
      <x:c r="L48" s="91" t="n">
        <x:v>4</x:v>
      </x:c>
    </x:row>
    <x:row r="49">
      <x:c r="A49" s="90" t="str">
        <x:v>Cancelled</x:v>
      </x:c>
      <x:c r="B49" s="91" t="n">
        <x:v>4</x:v>
      </x:c>
      <x:c r="C49" s="34"/>
      <x:c r="D49" s="34"/>
      <x:c r="E49" s="34"/>
      <x:c r="F49" s="34"/>
      <x:c r="G49" s="34"/>
      <x:c r="H49" s="34"/>
      <x:c r="I49" s="90" t="str">
        <x:v>Security or staff</x:v>
      </x:c>
      <x:c r="J49" s="91" t="n">
        <x:v>1</x:v>
      </x:c>
      <x:c r="K49" s="92" t="str">
        <x:v>Over five minutes</x:v>
      </x:c>
      <x:c r="L49" s="93" t="n">
        <x:v>7</x:v>
      </x:c>
    </x:row>
    <x:row r="50">
      <x:c r="A50" s="92" t="str">
        <x:v>Other</x:v>
      </x:c>
      <x:c r="B50" s="93" t="n">
        <x:v>1</x:v>
      </x:c>
      <x:c r="C50" s="34"/>
      <x:c r="D50" s="34"/>
      <x:c r="E50" s="34"/>
      <x:c r="F50" s="34"/>
      <x:c r="G50" s="34"/>
      <x:c r="H50" s="34"/>
      <x:c r="I50" s="92" t="str">
        <x:v>Other</x:v>
      </x:c>
      <x:c r="J50" s="93" t="n">
        <x:v>1</x:v>
      </x:c>
      <x:c r="K50" s="34"/>
      <x:c r="L50" s="34"/>
    </x:row>
    <x:row r="51">
      <x:c r="A51" s="131"/>
      <x:c r="B51" s="34"/>
      <x:c r="C51" s="34"/>
      <x:c r="D51" s="34"/>
      <x:c r="E51" s="34"/>
      <x:c r="F51" s="34"/>
      <x:c r="G51" s="34"/>
      <x:c r="H51" s="34"/>
      <x:c r="I51" s="34"/>
      <x:c r="J51" s="34"/>
      <x:c r="K51" s="34"/>
      <x:c r="L51" s="34"/>
    </x:row>
    <x:row r="52">
      <x:c r="A52" s="131"/>
      <x:c r="B52" s="34"/>
      <x:c r="C52" s="34"/>
      <x:c r="D52" s="34"/>
      <x:c r="E52" s="34"/>
      <x:c r="F52" s="34"/>
      <x:c r="G52" s="34"/>
      <x:c r="H52" s="34"/>
      <x:c r="I52" s="34"/>
      <x:c r="J52" s="34"/>
      <x:c r="K52" s="34"/>
      <x:c r="L52" s="34"/>
    </x:row>
    <x:row r="53">
      <x:c r="A53" s="131"/>
      <x:c r="B53" s="34"/>
      <x:c r="C53" s="34"/>
      <x:c r="D53" s="34"/>
      <x:c r="E53" s="34"/>
      <x:c r="F53" s="34"/>
      <x:c r="G53" s="34"/>
      <x:c r="H53" s="34"/>
      <x:c r="I53" s="34"/>
      <x:c r="J53" s="34"/>
      <x:c r="K53" s="34"/>
      <x:c r="L53" s="34"/>
    </x:row>
    <x:row r="54">
      <x:c r="A54" s="131"/>
      <x:c r="B54" s="34"/>
      <x:c r="C54" s="34"/>
      <x:c r="D54" s="34"/>
      <x:c r="E54" s="34"/>
      <x:c r="F54" s="34"/>
      <x:c r="G54" s="34"/>
      <x:c r="H54" s="34"/>
      <x:c r="I54" s="34"/>
      <x:c r="J54" s="34"/>
      <x:c r="K54" s="34"/>
      <x:c r="L54" s="34"/>
    </x:row>
    <x:row r="55">
      <x:c r="A55" s="131"/>
      <x:c r="B55" s="34"/>
      <x:c r="C55" s="34"/>
      <x:c r="D55" s="34"/>
      <x:c r="E55" s="34"/>
      <x:c r="F55" s="34"/>
      <x:c r="G55" s="34"/>
      <x:c r="H55" s="34"/>
      <x:c r="I55" s="34"/>
      <x:c r="J55" s="34"/>
      <x:c r="K55" s="34"/>
      <x:c r="L55" s="34"/>
    </x:row>
    <x:row r="56">
      <x:c r="A56" s="131"/>
      <x:c r="B56" s="34"/>
      <x:c r="C56" s="34"/>
      <x:c r="D56" s="34"/>
      <x:c r="E56" s="34"/>
      <x:c r="F56" s="34"/>
      <x:c r="G56" s="34"/>
      <x:c r="H56" s="34"/>
      <x:c r="I56" s="34"/>
      <x:c r="J56" s="34"/>
      <x:c r="K56" s="34"/>
      <x:c r="L56" s="34"/>
    </x:row>
    <x:row r="57">
      <x:c r="A57" s="131"/>
      <x:c r="B57" s="34"/>
      <x:c r="C57" s="34"/>
      <x:c r="D57" s="34"/>
      <x:c r="E57" s="34"/>
      <x:c r="F57" s="34"/>
      <x:c r="G57" s="34"/>
      <x:c r="H57" s="34"/>
      <x:c r="I57" s="34"/>
      <x:c r="J57" s="34"/>
      <x:c r="K57" s="34"/>
      <x:c r="L57" s="34"/>
    </x:row>
    <x:row r="58">
      <x:c r="A58" s="131"/>
      <x:c r="B58" s="34"/>
      <x:c r="C58" s="34"/>
      <x:c r="D58" s="34"/>
      <x:c r="E58" s="34"/>
      <x:c r="F58" s="34"/>
      <x:c r="G58" s="34"/>
      <x:c r="H58" s="34"/>
      <x:c r="I58" s="34"/>
      <x:c r="J58" s="34"/>
      <x:c r="K58" s="34"/>
      <x:c r="L58" s="34"/>
    </x:row>
    <x:row r="59">
      <x:c r="A59" s="131"/>
      <x:c r="B59" s="34"/>
      <x:c r="C59" s="34"/>
      <x:c r="D59" s="34"/>
      <x:c r="E59" s="34"/>
      <x:c r="F59" s="34"/>
      <x:c r="G59" s="34"/>
      <x:c r="H59" s="34"/>
      <x:c r="I59" s="34"/>
      <x:c r="J59" s="34"/>
      <x:c r="K59" s="34"/>
      <x:c r="L59" s="34"/>
    </x:row>
    <x:row r="60">
      <x:c r="A60" s="131"/>
      <x:c r="B60" s="34"/>
      <x:c r="C60" s="34"/>
      <x:c r="D60" s="34"/>
      <x:c r="E60" s="34"/>
      <x:c r="F60" s="34"/>
      <x:c r="G60" s="34"/>
      <x:c r="H60" s="34"/>
      <x:c r="I60" s="34"/>
      <x:c r="J60" s="34"/>
      <x:c r="K60" s="34"/>
      <x:c r="L60" s="34"/>
    </x:row>
    <x:row r="61">
      <x:c r="A61" s="131"/>
      <x:c r="B61" s="34"/>
      <x:c r="C61" s="34"/>
      <x:c r="D61" s="34"/>
      <x:c r="E61" s="34"/>
      <x:c r="F61" s="34"/>
      <x:c r="G61" s="34"/>
      <x:c r="H61" s="34"/>
      <x:c r="I61" s="34"/>
      <x:c r="J61" s="34"/>
      <x:c r="K61" s="34"/>
      <x:c r="L61" s="34"/>
    </x:row>
    <x:row r="62">
      <x:c r="A62" s="71" t="str">
        <x:v>Qualitative evidence and assignment use</x:v>
      </x:c>
      <x:c r="B62" s="72"/>
      <x:c r="C62" s="72"/>
      <x:c r="D62" s="72"/>
      <x:c r="E62" s="72"/>
      <x:c r="F62" s="72"/>
      <x:c r="G62" s="72"/>
      <x:c r="H62" s="72"/>
      <x:c r="I62" s="72"/>
      <x:c r="J62" s="72"/>
      <x:c r="K62" s="72"/>
      <x:c r="L62" s="73"/>
    </x:row>
    <x:row r="63">
      <x:c r="A63" s="80" t="str">
        <x:v>Current-schema issue evidence</x:v>
      </x:c>
      <x:c r="B63" s="81" t="str">
        <x:v>Count</x:v>
      </x:c>
      <x:c r="C63" s="34"/>
      <x:c r="D63" s="80" t="str">
        <x:v>Research interpretation</x:v>
      </x:c>
      <x:c r="E63" s="102"/>
      <x:c r="F63" s="102"/>
      <x:c r="G63" s="102"/>
      <x:c r="H63" s="102"/>
      <x:c r="I63" s="102"/>
      <x:c r="J63" s="102"/>
      <x:c r="K63" s="102"/>
      <x:c r="L63" s="81"/>
    </x:row>
    <x:row r="64" ht="34" customHeight="1">
      <x:c r="A64" s="88" t="str">
        <x:v>Issue-reporting records</x:v>
      </x:c>
      <x:c r="B64" s="89" t="n">
        <x:f>COUNTIFS('Normalized Data'!$D$2:$D$64,"Current",'Normalized Data'!$K$2:$K$64,1)</x:f>
        <x:v>10</x:v>
      </x:c>
      <x:c r="C64" s="34"/>
      <x:c r="D64" s="82" t="str">
        <x:v>1</x:v>
      </x:c>
      <x:c r="E64" s="112" t="str">
        <x:v>Pickup difficulty is meaningful but situational; most respondents reported no difficulty.</x:v>
      </x:c>
      <x:c r="F64" s="103"/>
      <x:c r="G64" s="103"/>
      <x:c r="H64" s="103"/>
      <x:c r="I64" s="103"/>
      <x:c r="J64" s="103"/>
      <x:c r="K64" s="103"/>
      <x:c r="L64" s="83"/>
    </x:row>
    <x:row r="65" ht="34" customHeight="1">
      <x:c r="A65" s="90" t="str">
        <x:v>Contains a story</x:v>
      </x:c>
      <x:c r="B65" s="91" t="n">
        <x:f>COUNTIFS('Normalized Data'!$AC$2:$AC$64,1)</x:f>
        <x:v>8</x:v>
      </x:c>
      <x:c r="C65" s="34"/>
      <x:c r="D65" s="84" t="str">
        <x:v>2</x:v>
      </x:c>
      <x:c r="E65" s="113" t="str">
        <x:v>Complex locations and access conditions are recurring contexts, led by airports and gated communities.</x:v>
      </x:c>
      <x:c r="F65" s="104"/>
      <x:c r="G65" s="104"/>
      <x:c r="H65" s="104"/>
      <x:c r="I65" s="104"/>
      <x:c r="J65" s="104"/>
      <x:c r="K65" s="104"/>
      <x:c r="L65" s="85"/>
    </x:row>
    <x:row r="66" ht="34" customHeight="1">
      <x:c r="A66" s="90" t="str">
        <x:v>Answered all four open questions</x:v>
      </x:c>
      <x:c r="B66" s="91" t="n">
        <x:f>COUNTIFS('Normalized Data'!$AD$2:$AD$64,1)</x:f>
        <x:v>4</x:v>
      </x:c>
      <x:c r="C66" s="34"/>
      <x:c r="D66" s="84" t="str">
        <x:v>3</x:v>
      </x:c>
      <x:c r="E66" s="113" t="str">
        <x:v>Calling and messaging form the main recovery layer when the app does not resolve the meeting point.</x:v>
      </x:c>
      <x:c r="F66" s="104"/>
      <x:c r="G66" s="104"/>
      <x:c r="H66" s="104"/>
      <x:c r="I66" s="104"/>
      <x:c r="J66" s="104"/>
      <x:c r="K66" s="104"/>
      <x:c r="L66" s="85"/>
    </x:row>
    <x:row r="67" ht="34" customHeight="1">
      <x:c r="A67" s="92" t="str">
        <x:v>All four answers detailed</x:v>
      </x:c>
      <x:c r="B67" s="93" t="n">
        <x:f>COUNTIFS('Normalized Data'!$AE$2:$AE$64,1)</x:f>
        <x:v>3</x:v>
      </x:c>
      <x:c r="C67" s="34"/>
      <x:c r="D67" s="84" t="str">
        <x:v>4</x:v>
      </x:c>
      <x:c r="E67" s="113" t="str">
        <x:v>Cancellations may reflect destination, fare or payment preferences, not only location confusion.</x:v>
      </x:c>
      <x:c r="F67" s="104"/>
      <x:c r="G67" s="104"/>
      <x:c r="H67" s="104"/>
      <x:c r="I67" s="104"/>
      <x:c r="J67" s="104"/>
      <x:c r="K67" s="104"/>
      <x:c r="L67" s="85"/>
    </x:row>
    <x:row r="68" ht="34" customHeight="1">
      <x:c r="A68" s="131"/>
      <x:c r="B68" s="34"/>
      <x:c r="C68" s="34"/>
      <x:c r="D68" s="84" t="str">
        <x:v>5</x:v>
      </x:c>
      <x:c r="E68" s="113" t="str">
        <x:v>Driver evidence is weak because only four of 63 submissions came from drivers.</x:v>
      </x:c>
      <x:c r="F68" s="104"/>
      <x:c r="G68" s="104"/>
      <x:c r="H68" s="104"/>
      <x:c r="I68" s="104"/>
      <x:c r="J68" s="104"/>
      <x:c r="K68" s="104"/>
      <x:c r="L68" s="85"/>
    </x:row>
    <x:row r="69" ht="34" customHeight="1">
      <x:c r="A69" s="131"/>
      <x:c r="B69" s="34"/>
      <x:c r="C69" s="34"/>
      <x:c r="D69" s="115" t="str">
        <x:v>Note</x:v>
      </x:c>
      <x:c r="E69" s="116" t="str">
        <x:v>Directional convenience sample. Do not use these percentages as Hyderabad-wide prevalence.</x:v>
      </x:c>
      <x:c r="F69" s="117"/>
      <x:c r="G69" s="117"/>
      <x:c r="H69" s="117"/>
      <x:c r="I69" s="117"/>
      <x:c r="J69" s="117"/>
      <x:c r="K69" s="117"/>
      <x:c r="L69" s="118"/>
    </x:row>
    <x:row r="70">
      <x:c r="A70" s="131"/>
      <x:c r="B70" s="34"/>
      <x:c r="C70" s="34"/>
      <x:c r="D70" s="34"/>
      <x:c r="E70" s="34"/>
      <x:c r="F70" s="34"/>
      <x:c r="G70" s="34"/>
      <x:c r="H70" s="34"/>
      <x:c r="I70" s="34"/>
      <x:c r="J70" s="34"/>
      <x:c r="K70" s="34"/>
      <x:c r="L70" s="34"/>
    </x:row>
    <x:row r="71">
      <x:c r="A71" s="131"/>
      <x:c r="B71" s="34"/>
      <x:c r="C71" s="34"/>
      <x:c r="D71" s="34"/>
      <x:c r="E71" s="34"/>
      <x:c r="F71" s="34"/>
      <x:c r="G71" s="34"/>
      <x:c r="H71" s="34"/>
      <x:c r="I71" s="34"/>
      <x:c r="J71" s="34"/>
      <x:c r="K71" s="34"/>
      <x:c r="L71" s="34"/>
    </x:row>
    <x:row r="72">
      <x:c r="A72" s="71" t="str">
        <x:v>Best responses for interview context</x:v>
      </x:c>
      <x:c r="B72" s="72"/>
      <x:c r="C72" s="72"/>
      <x:c r="D72" s="72"/>
      <x:c r="E72" s="72"/>
      <x:c r="F72" s="72"/>
      <x:c r="G72" s="72"/>
      <x:c r="H72" s="72"/>
      <x:c r="I72" s="72"/>
      <x:c r="J72" s="72"/>
      <x:c r="K72" s="72"/>
      <x:c r="L72" s="73"/>
    </x:row>
    <x:row r="73">
      <x:c r="A73" s="80" t="str">
        <x:v>Rank</x:v>
      </x:c>
      <x:c r="B73" s="102" t="str">
        <x:v>Sheet row</x:v>
      </x:c>
      <x:c r="C73" s="102" t="str">
        <x:v>City</x:v>
      </x:c>
      <x:c r="D73" s="102" t="str">
        <x:v>Theme</x:v>
      </x:c>
      <x:c r="E73" s="102"/>
      <x:c r="F73" s="102" t="str">
        <x:v>Evidence use</x:v>
      </x:c>
      <x:c r="G73" s="102" t="str">
        <x:v>Quote / summary</x:v>
      </x:c>
      <x:c r="H73" s="102"/>
      <x:c r="I73" s="102"/>
      <x:c r="J73" s="102"/>
      <x:c r="K73" s="102"/>
      <x:c r="L73" s="81"/>
    </x:row>
    <x:row r="74" ht="54" customHeight="1">
      <x:c r="A74" s="122" t="n">
        <x:v>1</x:v>
      </x:c>
      <x:c r="B74" s="123" t="n">
        <x:v>64</x:v>
      </x:c>
      <x:c r="C74" s="106" t="str">
        <x:v>Lucknow</x:v>
      </x:c>
      <x:c r="D74" s="119" t="str">
        <x:v>Driver no-show, cancellation and no redressal</x:v>
      </x:c>
      <x:c r="E74" s="119"/>
      <x:c r="F74" s="119" t="str">
        <x:v>Primary</x:v>
      </x:c>
      <x:c r="G74" s="119" t="str">
        <x:v>The driver kept the rider waiting, said not to cancel, then did not arrive; no immediate help was available.</x:v>
      </x:c>
      <x:c r="H74" s="106"/>
      <x:c r="I74" s="106"/>
      <x:c r="J74" s="106"/>
      <x:c r="K74" s="106"/>
      <x:c r="L74" s="89"/>
    </x:row>
    <x:row r="75" ht="54" customHeight="1">
      <x:c r="A75" s="124" t="n">
        <x:v>2</x:v>
      </x:c>
      <x:c r="B75" s="125" t="n">
        <x:v>67</x:v>
      </x:c>
      <x:c r="C75" s="107" t="str">
        <x:v>Ernakulam</x:v>
      </x:c>
      <x:c r="D75" s="120" t="str">
        <x:v>App said arrived but rider and driver could not meet</x:v>
      </x:c>
      <x:c r="E75" s="120"/>
      <x:c r="F75" s="120" t="str">
        <x:v>Primary</x:v>
      </x:c>
      <x:c r="G75" s="120" t="str">
        <x:v>The app said the driver had arrived, but it still took almost ten minutes to locate each other.</x:v>
      </x:c>
      <x:c r="H75" s="107"/>
      <x:c r="I75" s="107"/>
      <x:c r="J75" s="107"/>
      <x:c r="K75" s="107"/>
      <x:c r="L75" s="91"/>
    </x:row>
    <x:row r="76" ht="54" customHeight="1">
      <x:c r="A76" s="124" t="n">
        <x:v>3</x:v>
      </x:c>
      <x:c r="B76" s="125" t="n">
        <x:v>47</x:v>
      </x:c>
      <x:c r="C76" s="107" t="str">
        <x:v>Hyderabad</x:v>
      </x:c>
      <x:c r="D76" s="120" t="str">
        <x:v>Rain and destination-based cancellation</x:v>
      </x:c>
      <x:c r="E76" s="120"/>
      <x:c r="F76" s="120" t="str">
        <x:v>Primary</x:v>
      </x:c>
      <x:c r="G76" s="120" t="str">
        <x:v>During rains it would be very difficult to book a cab... cancellations based on the drop point.</x:v>
      </x:c>
      <x:c r="H76" s="107"/>
      <x:c r="I76" s="107"/>
      <x:c r="J76" s="107"/>
      <x:c r="K76" s="107"/>
      <x:c r="L76" s="91"/>
    </x:row>
    <x:row r="77" ht="54" customHeight="1">
      <x:c r="A77" s="124" t="n">
        <x:v>4</x:v>
      </x:c>
      <x:c r="B77" s="125" t="n">
        <x:v>53</x:v>
      </x:c>
      <x:c r="C77" s="107" t="str">
        <x:v>Hyderabad</x:v>
      </x:c>
      <x:c r="D77" s="120" t="str">
        <x:v>Driver unable to identify location</x:v>
      </x:c>
      <x:c r="E77" s="120"/>
      <x:c r="F77" s="120" t="str">
        <x:v>Primary</x:v>
      </x:c>
      <x:c r="G77" s="120" t="str">
        <x:v>Some drivers are unable to identify the location and ask the rider to cancel.</x:v>
      </x:c>
      <x:c r="H77" s="107"/>
      <x:c r="I77" s="107"/>
      <x:c r="J77" s="107"/>
      <x:c r="K77" s="107"/>
      <x:c r="L77" s="91"/>
    </x:row>
    <x:row r="78" ht="54" customHeight="1">
      <x:c r="A78" s="124" t="n">
        <x:v>5</x:v>
      </x:c>
      <x:c r="B78" s="125" t="n">
        <x:v>60</x:v>
      </x:c>
      <x:c r="C78" s="107" t="str">
        <x:v>Other / not specified</x:v>
      </x:c>
      <x:c r="D78" s="120" t="str">
        <x:v>Drop, fare and payment questions</x:v>
      </x:c>
      <x:c r="E78" s="120"/>
      <x:c r="F78" s="120" t="str">
        <x:v>Primary</x:v>
      </x:c>
      <x:c r="G78" s="120" t="str">
        <x:v>Drivers ask about drop location, displayed fare and payment mode before proceeding.</x:v>
      </x:c>
      <x:c r="H78" s="107"/>
      <x:c r="I78" s="107"/>
      <x:c r="J78" s="107"/>
      <x:c r="K78" s="107"/>
      <x:c r="L78" s="91"/>
    </x:row>
    <x:row r="79" ht="54" customHeight="1">
      <x:c r="A79" s="124" t="n">
        <x:v>6</x:v>
      </x:c>
      <x:c r="B79" s="125" t="n">
        <x:v>55</x:v>
      </x:c>
      <x:c r="C79" s="107" t="str">
        <x:v>Mumbai</x:v>
      </x:c>
      <x:c r="D79" s="120" t="str">
        <x:v>Expected versus actual wait</x:v>
      </x:c>
      <x:c r="E79" s="120"/>
      <x:c r="F79" s="120" t="str">
        <x:v>Primary</x:v>
      </x:c>
      <x:c r="G79" s="120" t="str">
        <x:v>Expected 2–3 minutes; experienced 10–15 minutes in a busy area.</x:v>
      </x:c>
      <x:c r="H79" s="107"/>
      <x:c r="I79" s="107"/>
      <x:c r="J79" s="107"/>
      <x:c r="K79" s="107"/>
      <x:c r="L79" s="91"/>
    </x:row>
    <x:row r="80" ht="54" customHeight="1">
      <x:c r="A80" s="124" t="n">
        <x:v>7</x:v>
      </x:c>
      <x:c r="B80" s="125" t="n">
        <x:v>14</x:v>
      </x:c>
      <x:c r="C80" s="107" t="str">
        <x:v>Hyderabad</x:v>
      </x:c>
      <x:c r="D80" s="120" t="str">
        <x:v>Late and peak-hour cancellation</x:v>
      </x:c>
      <x:c r="E80" s="120"/>
      <x:c r="F80" s="120" t="str">
        <x:v>Supporting</x:v>
      </x:c>
      <x:c r="G80" s="120" t="str">
        <x:v>Driver asked the destination and then cancelled; respondent said this happened many times.</x:v>
      </x:c>
      <x:c r="H80" s="107"/>
      <x:c r="I80" s="107"/>
      <x:c r="J80" s="107"/>
      <x:c r="K80" s="107"/>
      <x:c r="L80" s="91"/>
    </x:row>
    <x:row r="81" ht="54" customHeight="1">
      <x:c r="A81" s="124" t="n">
        <x:v>8</x:v>
      </x:c>
      <x:c r="B81" s="125" t="n">
        <x:v>49</x:v>
      </x:c>
      <x:c r="C81" s="107" t="str">
        <x:v>Hyderabad</x:v>
      </x:c>
      <x:c r="D81" s="120" t="str">
        <x:v>Driver accepted but did not move</x:v>
      </x:c>
      <x:c r="E81" s="120"/>
      <x:c r="F81" s="120" t="str">
        <x:v>Supporting</x:v>
      </x:c>
      <x:c r="G81" s="120" t="str">
        <x:v>Driver remained stationary, later cancelled or waited for the rider to cancel.</x:v>
      </x:c>
      <x:c r="H81" s="107"/>
      <x:c r="I81" s="107"/>
      <x:c r="J81" s="107"/>
      <x:c r="K81" s="107"/>
      <x:c r="L81" s="91"/>
    </x:row>
    <x:row r="82" ht="54" customHeight="1">
      <x:c r="A82" s="124" t="n">
        <x:v>9</x:v>
      </x:c>
      <x:c r="B82" s="125" t="n">
        <x:v>63</x:v>
      </x:c>
      <x:c r="C82" s="107" t="str">
        <x:v>Hyderabad</x:v>
      </x:c>
      <x:c r="D82" s="120" t="str">
        <x:v>Airport delay and missing clarity</x:v>
      </x:c>
      <x:c r="E82" s="120"/>
      <x:c r="F82" s="120" t="str">
        <x:v>Supporting</x:v>
      </x:c>
      <x:c r="G82" s="120" t="str">
        <x:v>Recent airport case with a 5–15 minute delay; most frustrating part was no clarity.</x:v>
      </x:c>
      <x:c r="H82" s="107"/>
      <x:c r="I82" s="107"/>
      <x:c r="J82" s="107"/>
      <x:c r="K82" s="107"/>
      <x:c r="L82" s="91"/>
    </x:row>
    <x:row r="83" ht="54" customHeight="1">
      <x:c r="A83" s="126" t="n">
        <x:v>10</x:v>
      </x:c>
      <x:c r="B83" s="127" t="n">
        <x:v>61</x:v>
      </x:c>
      <x:c r="C83" s="108" t="str">
        <x:v>Hyderabad</x:v>
      </x:c>
      <x:c r="D83" s="121" t="str">
        <x:v>Proactive standing-location message</x:v>
      </x:c>
      <x:c r="E83" s="121"/>
      <x:c r="F83" s="121" t="str">
        <x:v>Supporting</x:v>
      </x:c>
      <x:c r="G83" s="121" t="str">
        <x:v>I always place a message on where I would stand with details.</x:v>
      </x:c>
      <x:c r="H83" s="108"/>
      <x:c r="I83" s="108"/>
      <x:c r="J83" s="108"/>
      <x:c r="K83" s="108"/>
      <x:c r="L83" s="93"/>
    </x:row>
    <x:row r="84">
      <x:c r="A84" s="131"/>
      <x:c r="B84" s="34"/>
      <x:c r="C84" s="34"/>
      <x:c r="D84" s="34"/>
      <x:c r="E84" s="34"/>
      <x:c r="F84" s="34"/>
      <x:c r="G84" s="34"/>
      <x:c r="H84" s="34"/>
      <x:c r="I84" s="34"/>
      <x:c r="J84" s="34"/>
      <x:c r="K84" s="34"/>
      <x:c r="L84" s="34"/>
    </x:row>
    <x:row r="85">
      <x:c r="A85" s="131"/>
      <x:c r="B85" s="34"/>
      <x:c r="C85" s="34"/>
      <x:c r="D85" s="34"/>
      <x:c r="E85" s="34"/>
      <x:c r="F85" s="34"/>
      <x:c r="G85" s="34"/>
      <x:c r="H85" s="34"/>
      <x:c r="I85" s="34"/>
      <x:c r="J85" s="34"/>
      <x:c r="K85" s="34"/>
      <x:c r="L85" s="34"/>
    </x:row>
    <x:row r="86">
      <x:c r="A86" s="80" t="str">
        <x:v>Method and limitations</x:v>
      </x:c>
      <x:c r="B86" s="102"/>
      <x:c r="C86" s="102"/>
      <x:c r="D86" s="102"/>
      <x:c r="E86" s="102"/>
      <x:c r="F86" s="102"/>
      <x:c r="G86" s="102"/>
      <x:c r="H86" s="102"/>
      <x:c r="I86" s="102"/>
      <x:c r="J86" s="102"/>
      <x:c r="K86" s="102"/>
      <x:c r="L86" s="81"/>
    </x:row>
    <x:row r="87" ht="32" customHeight="1">
      <x:c r="A87" s="88" t="str">
        <x:v>Method</x:v>
      </x:c>
      <x:c r="B87" s="112" t="str">
        <x:v>63 likely non-test submissions were normalized across the legacy and current survey schemas. Contact fields were excluded.</x:v>
      </x:c>
      <x:c r="C87" s="103"/>
      <x:c r="D87" s="103"/>
      <x:c r="E87" s="103"/>
      <x:c r="F87" s="103"/>
      <x:c r="G87" s="103"/>
      <x:c r="H87" s="103"/>
      <x:c r="I87" s="103"/>
      <x:c r="J87" s="103"/>
      <x:c r="K87" s="103"/>
      <x:c r="L87" s="83"/>
    </x:row>
    <x:row r="88" ht="32" customHeight="1">
      <x:c r="A88" s="90" t="str">
        <x:v>Limitations</x:v>
      </x:c>
      <x:c r="B88" s="113" t="str">
        <x:v>Convenience sample; 59 riders and four drivers; one possible duplicate; no unique participant identifier; qualitative depth varies.</x:v>
      </x:c>
      <x:c r="C88" s="104"/>
      <x:c r="D88" s="104"/>
      <x:c r="E88" s="104"/>
      <x:c r="F88" s="104"/>
      <x:c r="G88" s="104"/>
      <x:c r="H88" s="104"/>
      <x:c r="I88" s="104"/>
      <x:c r="J88" s="104"/>
      <x:c r="K88" s="104"/>
      <x:c r="L88" s="85"/>
    </x:row>
    <x:row r="89" ht="32" customHeight="1">
      <x:c r="A89" s="92" t="str">
        <x:v>Refresh</x:v>
      </x:c>
      <x:c r="B89" s="114" t="str">
        <x:v>This dashboard is a snapshot. Re-run normalization after collecting additional responses.</x:v>
      </x:c>
      <x:c r="C89" s="105"/>
      <x:c r="D89" s="105"/>
      <x:c r="E89" s="105"/>
      <x:c r="F89" s="105"/>
      <x:c r="G89" s="105"/>
      <x:c r="H89" s="105"/>
      <x:c r="I89" s="105"/>
      <x:c r="J89" s="105"/>
      <x:c r="K89" s="105"/>
      <x:c r="L89" s="87"/>
    </x:row>
    <x:row r="90">
      <x:c r="A90" s="34"/>
      <x:c r="B90" s="34"/>
      <x:c r="C90" s="34"/>
      <x:c r="D90" s="34"/>
      <x:c r="E90" s="34"/>
      <x:c r="F90" s="34"/>
      <x:c r="G90" s="34"/>
      <x:c r="H90" s="34"/>
      <x:c r="I90" s="34"/>
      <x:c r="J90" s="34"/>
      <x:c r="K90" s="34"/>
      <x:c r="L90" s="34"/>
    </x:row>
    <x:row r="91">
      <x:c r="A91" s="34"/>
      <x:c r="B91" s="34"/>
      <x:c r="C91" s="34"/>
      <x:c r="D91" s="34"/>
      <x:c r="E91" s="34"/>
      <x:c r="F91" s="34"/>
      <x:c r="G91" s="34"/>
      <x:c r="H91" s="34"/>
      <x:c r="I91" s="34"/>
      <x:c r="J91" s="34"/>
      <x:c r="K91" s="34"/>
      <x:c r="L91" s="34"/>
    </x:row>
    <x:row r="92">
      <x:c r="A92" s="34"/>
      <x:c r="B92" s="34"/>
      <x:c r="C92" s="34"/>
      <x:c r="D92" s="34"/>
      <x:c r="E92" s="34"/>
      <x:c r="F92" s="34"/>
      <x:c r="G92" s="34"/>
      <x:c r="H92" s="34"/>
      <x:c r="I92" s="34"/>
      <x:c r="J92" s="34"/>
      <x:c r="K92" s="34"/>
      <x:c r="L92" s="34"/>
    </x:row>
    <x:row r="93">
      <x:c r="A93" s="34"/>
      <x:c r="B93" s="34"/>
      <x:c r="C93" s="34"/>
      <x:c r="D93" s="34"/>
      <x:c r="E93" s="34"/>
      <x:c r="F93" s="34"/>
      <x:c r="G93" s="34"/>
      <x:c r="H93" s="34"/>
      <x:c r="I93" s="34"/>
      <x:c r="J93" s="34"/>
      <x:c r="K93" s="34"/>
      <x:c r="L93" s="34"/>
    </x:row>
    <x:row r="94">
      <x:c r="A94" s="34"/>
      <x:c r="B94" s="34"/>
      <x:c r="C94" s="34"/>
      <x:c r="D94" s="34"/>
      <x:c r="E94" s="34"/>
      <x:c r="F94" s="34"/>
      <x:c r="G94" s="34"/>
      <x:c r="H94" s="34"/>
      <x:c r="I94" s="34"/>
      <x:c r="J94" s="34"/>
      <x:c r="K94" s="34"/>
      <x:c r="L94" s="34"/>
    </x:row>
    <x:row r="95">
      <x:c r="A95" s="34"/>
      <x:c r="B95" s="34"/>
      <x:c r="C95" s="34"/>
      <x:c r="D95" s="34"/>
      <x:c r="E95" s="34"/>
      <x:c r="F95" s="34"/>
      <x:c r="G95" s="34"/>
      <x:c r="H95" s="34"/>
      <x:c r="I95" s="34"/>
      <x:c r="J95" s="34"/>
      <x:c r="K95" s="34"/>
      <x:c r="L95" s="34"/>
    </x:row>
    <x:row r="96">
      <x:c r="A96" s="34"/>
      <x:c r="B96" s="34"/>
      <x:c r="C96" s="34"/>
      <x:c r="D96" s="34"/>
      <x:c r="E96" s="34"/>
      <x:c r="F96" s="34"/>
      <x:c r="G96" s="34"/>
      <x:c r="H96" s="34"/>
      <x:c r="I96" s="34"/>
      <x:c r="J96" s="34"/>
      <x:c r="K96" s="34"/>
      <x:c r="L96" s="34"/>
    </x:row>
    <x:row r="97">
      <x:c r="A97" s="34"/>
      <x:c r="B97" s="34"/>
      <x:c r="C97" s="34"/>
      <x:c r="D97" s="34"/>
      <x:c r="E97" s="34"/>
      <x:c r="F97" s="34"/>
      <x:c r="G97" s="34"/>
      <x:c r="H97" s="34"/>
      <x:c r="I97" s="34"/>
      <x:c r="J97" s="34"/>
      <x:c r="K97" s="34"/>
      <x:c r="L97" s="34"/>
    </x:row>
    <x:row r="98">
      <x:c r="A98" s="34"/>
      <x:c r="B98" s="34"/>
      <x:c r="C98" s="34"/>
      <x:c r="D98" s="34"/>
      <x:c r="E98" s="34"/>
      <x:c r="F98" s="34"/>
      <x:c r="G98" s="34"/>
      <x:c r="H98" s="34"/>
      <x:c r="I98" s="34"/>
      <x:c r="J98" s="34"/>
      <x:c r="K98" s="34"/>
      <x:c r="L98" s="34"/>
    </x:row>
    <x:row r="99">
      <x:c r="A99" s="34"/>
      <x:c r="B99" s="34"/>
      <x:c r="C99" s="34"/>
      <x:c r="D99" s="34"/>
      <x:c r="E99" s="34"/>
      <x:c r="F99" s="34"/>
      <x:c r="G99" s="34"/>
      <x:c r="H99" s="34"/>
      <x:c r="I99" s="34"/>
      <x:c r="J99" s="34"/>
      <x:c r="K99" s="34"/>
      <x:c r="L99" s="34"/>
    </x:row>
    <x:row r="100">
      <x:c r="A100" s="34"/>
      <x:c r="B100" s="34"/>
      <x:c r="C100" s="34"/>
      <x:c r="D100" s="34"/>
      <x:c r="E100" s="34"/>
      <x:c r="F100" s="34"/>
      <x:c r="G100" s="34"/>
      <x:c r="H100" s="34"/>
      <x:c r="I100" s="34"/>
      <x:c r="J100" s="34"/>
      <x:c r="K100" s="34"/>
      <x:c r="L100" s="34"/>
    </x:row>
  </x:sheetData>
  <x:mergeCells>
    <x:mergeCell ref="A2:L2"/>
    <x:mergeCell ref="A3:L3"/>
    <x:mergeCell ref="A5:B5"/>
    <x:mergeCell ref="A6:B6"/>
    <x:mergeCell ref="A7:B7"/>
    <x:mergeCell ref="C5:D5"/>
    <x:mergeCell ref="C6:D6"/>
    <x:mergeCell ref="C7:D7"/>
    <x:mergeCell ref="E5:F5"/>
    <x:mergeCell ref="E6:F6"/>
    <x:mergeCell ref="E7:F7"/>
    <x:mergeCell ref="G5:H5"/>
    <x:mergeCell ref="G6:H6"/>
    <x:mergeCell ref="G7:H7"/>
    <x:mergeCell ref="I5:J5"/>
    <x:mergeCell ref="I6:J6"/>
    <x:mergeCell ref="I7:J7"/>
    <x:mergeCell ref="K5:L5"/>
    <x:mergeCell ref="K6:L6"/>
    <x:mergeCell ref="K7:L7"/>
    <x:mergeCell ref="A10:L10"/>
    <x:mergeCell ref="A25:L25"/>
    <x:mergeCell ref="A43:L43"/>
    <x:mergeCell ref="A62:L62"/>
    <x:mergeCell ref="D63:L63"/>
    <x:mergeCell ref="E64:L64"/>
    <x:mergeCell ref="E65:L65"/>
    <x:mergeCell ref="E66:L66"/>
    <x:mergeCell ref="E67:L67"/>
    <x:mergeCell ref="E68:L68"/>
    <x:mergeCell ref="E69:L69"/>
    <x:mergeCell ref="A72:L72"/>
    <x:mergeCell ref="D73:E73"/>
    <x:mergeCell ref="G73:L73"/>
    <x:mergeCell ref="D74:E74"/>
    <x:mergeCell ref="G74:L74"/>
    <x:mergeCell ref="D75:E75"/>
    <x:mergeCell ref="G75:L75"/>
    <x:mergeCell ref="D76:E76"/>
    <x:mergeCell ref="G76:L76"/>
    <x:mergeCell ref="D77:E77"/>
    <x:mergeCell ref="G77:L77"/>
    <x:mergeCell ref="D78:E78"/>
    <x:mergeCell ref="G78:L78"/>
    <x:mergeCell ref="D79:E79"/>
    <x:mergeCell ref="G79:L79"/>
    <x:mergeCell ref="D80:E80"/>
    <x:mergeCell ref="G80:L80"/>
    <x:mergeCell ref="D81:E81"/>
    <x:mergeCell ref="G81:L81"/>
    <x:mergeCell ref="D82:E82"/>
    <x:mergeCell ref="G82:L82"/>
    <x:mergeCell ref="D83:E83"/>
    <x:mergeCell ref="G83:L83"/>
    <x:mergeCell ref="A86:L86"/>
    <x:mergeCell ref="B87:L87"/>
    <x:mergeCell ref="B88:L88"/>
    <x:mergeCell ref="B89:L89"/>
  </x:mergeCells>
  <x:pageMargins left="0.7" right="0.7" top="0.75" bottom="0.75" header="0.3" footer="0.3"/>
  <x:drawing xmlns:r="http://schemas.openxmlformats.org/officeDocument/2006/relationships" r:id="R9eb1a6494b4d4051"/>
</x:worksheet>
</file>
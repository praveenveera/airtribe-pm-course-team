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6adf51b3604c02" /></Relationships>
</file>

<file path=xl/workbook.xml><?xml version="1.0" encoding="utf-8"?>
<x:workbook xmlns:x="http://schemas.openxmlformats.org/spreadsheetml/2006/main">
  <x:sheets>
    <x:sheet xmlns:r="http://schemas.openxmlformats.org/officeDocument/2006/relationships" name="Summary" sheetId="1" r:id="R3f5fe4fae15c42f0"/>
    <x:sheet xmlns:r="http://schemas.openxmlformats.org/officeDocument/2006/relationships" name="Anonymized Responses" sheetId="2" r:id="R9ddc7aa685ee4a49"/>
    <x:sheet xmlns:r="http://schemas.openxmlformats.org/officeDocument/2006/relationships" name="Method &amp; Limitations" sheetId="3" r:id="R8870b43be9614d79"/>
    <x:sheet xmlns:r="http://schemas.openxmlformats.org/officeDocument/2006/relationships" name="Insight Traceability" sheetId="4" r:id="R8439c2ac8cc3417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0.0%"/>
  </x:numFmts>
  <x:fonts count="10">
    <x:font>
      <x:sz val="11"/>
      <x:name val="Carlito"/>
    </x:font>
    <x:font>
      <x:sz val="9"/>
      <x:color rgb="FF17223B"/>
      <x:name val="Arial"/>
    </x:font>
    <x:font>
      <x:b/>
      <x:sz val="9"/>
      <x:color rgb="FFFFFFFF"/>
      <x:name val="Arial"/>
    </x:font>
    <x:font>
      <x:b/>
      <x:sz val="9"/>
      <x:color rgb="FF17223B"/>
      <x:name val="Arial"/>
    </x:font>
    <x:font>
      <x:b/>
      <x:sz val="16"/>
      <x:color rgb="FF17223B"/>
      <x:name val="Arial"/>
    </x:font>
    <x:font>
      <x:b/>
      <x:sz val="10"/>
      <x:color rgb="FFFFFFFF"/>
      <x:name val="Arial"/>
    </x:font>
    <x:font>
      <x:sz val="10"/>
      <x:color rgb="FF17223B"/>
      <x:name val="Arial"/>
    </x:font>
    <x:font>
      <x:b/>
      <x:sz val="10"/>
      <x:color rgb="FF17223B"/>
      <x:name val="Arial"/>
    </x:font>
    <x:font>
      <x:b/>
      <x:sz val="11"/>
      <x:color rgb="FFFF6B00"/>
      <x:name val="Arial"/>
    </x:font>
    <x:font>
      <x:i/>
      <x:sz val="9"/>
      <x:color rgb="FF596178"/>
      <x:name val="Arial"/>
    </x:font>
  </x:fonts>
  <x:fills count="5">
    <x:fill>
      <x:patternFill patternType="none"/>
    </x:fill>
    <x:fill>
      <x:patternFill patternType="gray125"/>
    </x:fill>
    <x:fill>
      <x:patternFill patternType="solid">
        <x:fgColor rgb="FF17223B"/>
      </x:patternFill>
    </x:fill>
    <x:fill>
      <x:patternFill patternType="solid">
        <x:fgColor rgb="FFFFE4CC"/>
      </x:patternFill>
    </x:fill>
    <x:fill>
      <x:patternFill patternType="solid">
        <x:fgColor rgb="FFDDF6F9"/>
      </x:patternFill>
    </x:fill>
  </x:fills>
  <x:borders count="5">
    <x:border/>
    <x:border>
      <x:bottom style="medium">
        <x:color rgb="FFFF6B00"/>
      </x:bottom>
    </x:border>
    <x:border>
      <x:bottom style="thin">
        <x:color rgb="FFD8DDE7"/>
      </x:bottom>
    </x:border>
    <x:border>
      <x:top style="thin">
        <x:color rgb="FFD8DDE7"/>
      </x:top>
      <x:bottom style="thin">
        <x:color rgb="FFD8DDE7"/>
      </x:bottom>
    </x:border>
    <x:border>
      <x:top style="thin">
        <x:color rgb="FFD8DDE7"/>
      </x:top>
    </x:border>
  </x:borders>
  <x:cellStyleXfs count="1">
    <x:xf numFmtId="0" fontId="0" fillId="0" borderId="0"/>
  </x:cellStyleXfs>
  <x:cellXfs count="5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x:xf numFmtId="200" fontId="1" fillId="0" borderId="0" xfId="0" applyNumberFormat="1" applyFont="1" applyFill="1" applyBorder="1"/>
    <x:xf numFmtId="0" fontId="2" fillId="2"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0" fillId="0" borderId="1" xfId="0" applyNumberFormat="1" applyFont="1" applyFill="1" applyBorder="1"/>
    <x:xf numFmtId="201" fontId="0" fillId="0" borderId="0" xfId="0" applyNumberFormat="1" applyFont="1" applyFill="1" applyBorder="1"/>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x:xf numFmtId="201" fontId="6" fillId="0" borderId="0" xfId="0" applyNumberFormat="1" applyFont="1" applyFill="1" applyBorder="1"/>
    <x:xf numFmtId="0" fontId="7" fillId="2" borderId="0" xfId="0" applyNumberFormat="1" applyFont="1" applyFill="1" applyBorder="1" applyAlignment="1">
      <x:alignment horizontal="center" vertical="center" wrapText="1"/>
    </x:xf>
    <x:xf numFmtId="0" fontId="6" fillId="0" borderId="2" xfId="0" applyNumberFormat="1" applyFont="1" applyFill="1" applyBorder="1"/>
    <x:xf numFmtId="0" fontId="6" fillId="0" borderId="3" xfId="0" applyNumberFormat="1" applyFont="1" applyFill="1" applyBorder="1"/>
    <x:xf numFmtId="201" fontId="6" fillId="0" borderId="3" xfId="0" applyNumberFormat="1" applyFont="1" applyFill="1" applyBorder="1"/>
    <x:xf numFmtId="0" fontId="6" fillId="0" borderId="4" xfId="0" applyNumberFormat="1" applyFont="1" applyFill="1" applyBorder="1"/>
    <x:xf numFmtId="0" fontId="8" fillId="0" borderId="2" xfId="0" applyNumberFormat="1" applyFont="1" applyFill="1" applyBorder="1"/>
    <x:xf numFmtId="0" fontId="8" fillId="0" borderId="3" xfId="0" applyNumberFormat="1" applyFont="1" applyFill="1" applyBorder="1"/>
    <x:xf numFmtId="201" fontId="8" fillId="0" borderId="3" xfId="0" applyNumberFormat="1" applyFont="1" applyFill="1" applyBorder="1"/>
    <x:xf numFmtId="0" fontId="8" fillId="0" borderId="4" xfId="0" applyNumberFormat="1" applyFont="1" applyFill="1" applyBorder="1"/>
    <x:xf numFmtId="0" fontId="6" fillId="3" borderId="2" xfId="0" applyNumberFormat="1" applyFont="1" applyFill="1" applyBorder="1"/>
    <x:xf numFmtId="0" fontId="6" fillId="3" borderId="3" xfId="0" applyNumberFormat="1" applyFont="1" applyFill="1" applyBorder="1"/>
    <x:xf numFmtId="0" fontId="6" fillId="3" borderId="4" xfId="0" applyNumberFormat="1" applyFont="1" applyFill="1" applyBorder="1"/>
    <x:xf numFmtId="0" fontId="9" fillId="0" borderId="2" xfId="0" applyNumberFormat="1" applyFont="1" applyFill="1" applyBorder="1"/>
    <x:xf numFmtId="0" fontId="9" fillId="0" borderId="3" xfId="0" applyNumberFormat="1" applyFont="1" applyFill="1" applyBorder="1"/>
    <x:xf numFmtId="0" fontId="9" fillId="0" borderId="4" xfId="0" applyNumberFormat="1" applyFont="1" applyFill="1" applyBorder="1"/>
    <x:xf numFmtId="0" fontId="6" fillId="0" borderId="2" xfId="0" applyNumberFormat="1" applyFont="1" applyFill="1" applyBorder="1" applyAlignment="1">
      <x:alignment wrapText="1"/>
    </x:xf>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6" fillId="4" borderId="0" xfId="0" applyNumberFormat="1" applyFont="1" applyFill="1" applyBorder="1"/>
    <x:xf numFmtId="0" fontId="6" fillId="3" borderId="0" xfId="0" applyNumberFormat="1" applyFont="1" applyFill="1" applyBorder="1"/>
    <x:xf numFmtId="0" fontId="6" fillId="4" borderId="0" xfId="0" applyNumberFormat="1" applyFont="1" applyFill="1" applyBorder="1" applyAlignment="1">
      <x:alignment wrapText="1"/>
    </x:xf>
    <x:xf numFmtId="0" fontId="6"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645d1fd8fb485d" /><Relationship Type="http://schemas.openxmlformats.org/officeDocument/2006/relationships/theme" Target="/xl/theme/theme1.xml" Id="R3ce35e8a0ea14161" /><Relationship Type="http://schemas.openxmlformats.org/officeDocument/2006/relationships/sharedStrings" Target="/xl/sharedStrings.xml" Id="R107405349eff4597" /><Relationship Type="http://schemas.openxmlformats.org/officeDocument/2006/relationships/worksheet" Target="/xl/worksheets/sheet1.xml" Id="R3f5fe4fae15c42f0" /><Relationship Type="http://schemas.openxmlformats.org/officeDocument/2006/relationships/worksheet" Target="/xl/worksheets/sheet2.xml" Id="R9ddc7aa685ee4a49" /><Relationship Type="http://schemas.openxmlformats.org/officeDocument/2006/relationships/worksheet" Target="/xl/worksheets/sheet3.xml" Id="R8870b43be9614d79" /><Relationship Type="http://schemas.openxmlformats.org/officeDocument/2006/relationships/worksheet" Target="/xl/worksheets/sheet4.xml" Id="R8439c2ac8cc34170" /></Relationships>
</file>

<file path=xl/drawings/_rels/drawing1.xml.rels>&#65279;<?xml version="1.0" encoding="utf-8"?><Relationships xmlns="http://schemas.openxmlformats.org/package/2006/relationships"><Relationship Type="http://schemas.openxmlformats.org/officeDocument/2006/relationships/chart" Target="/xl/drawings/charts/chart1.xml" Id="R86674a08a69944f4" /><Relationship Type="http://schemas.openxmlformats.org/officeDocument/2006/relationships/chart" Target="/xl/drawings/charts/chart2.xml" Id="R9fdd560315ca41f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Issue split in the unique sample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doughnutChart>
        <c:ser>
          <c:idx val="0"/>
          <c:order val="0"/>
          <c:tx>
            <c:v>Responses</c:v>
          </c:tx>
          <c:spPr>
            <a:solidFill xmlns:a="http://schemas.openxmlformats.org/drawingml/2006/main">
              <a:srgbClr val="FF6B00"/>
            </a:solidFill>
          </c:spPr>
          <c:cat>
            <c:strRef>
              <c:f>'Summary'!$E$5:$E$6</c:f>
              <c:strCache>
                <c:ptCount val="0"/>
              </c:strCache>
            </c:strRef>
          </c:cat>
          <c:val>
            <c:numRef>
              <c:f>'Summary'!$F$5:$F$6</c:f>
              <c:numCache>
                <c:formatCode>General</c:formatCode>
                <c:ptCount val="0"/>
              </c:numCache>
            </c:numRef>
          </c:val>
        </c:ser>
      </c:doughnutChart>
    </c:plotArea>
    <c:legend>
      <c:legendPos val="b"/>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Problem locations among 28 issue cases</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Mentions</c:v>
          </c:tx>
          <c:spPr>
            <a:solidFill xmlns:a="http://schemas.openxmlformats.org/drawingml/2006/main">
              <a:srgbClr val="00B6C9"/>
            </a:solidFill>
          </c:spPr>
          <c:cat>
            <c:strRef>
              <c:f>'Summary'!$E$10:$E$17</c:f>
              <c:strCache>
                <c:ptCount val="0"/>
              </c:strCache>
            </c:strRef>
          </c:cat>
          <c:val>
            <c:numRef>
              <c:f>'Summary'!$F$10:$F$17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3</xdr:row>
      <xdr:rowOff>0</xdr:rowOff>
    </xdr:from>
    <xdr:to>
      <xdr:col>17</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674a08a69944f4"/>
        </a:graphicData>
      </a:graphic>
    </xdr:graphicFrame>
    <xdr:clientData/>
  </xdr:twoCellAnchor>
  <xdr:twoCellAnchor>
    <xdr:from>
      <xdr:col>10</xdr:col>
      <xdr:colOff>0</xdr:colOff>
      <xdr:row>16</xdr:row>
      <xdr:rowOff>0</xdr:rowOff>
    </xdr:from>
    <xdr:to>
      <xdr:col>17</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fdd560315ca41fa"/>
        </a:graphicData>
      </a:graphic>
    </xdr:graphicFrame>
    <xdr:clientData/>
  </xdr:twoCellAnchor>
</xdr:wsDr>
</file>

<file path=xl/tables/table1.xml><?xml version="1.0" encoding="utf-8"?>
<x:table xmlns:x="http://schemas.openxmlformats.org/spreadsheetml/2006/main" id="1" name="AnonymizedResponsesTable" displayName="AnonymizedResponsesTable" ref="A1:AC63" headerRowCount="1" totalsRowCount="0" totalsRowShown="0">
  <x:tableColumns count="29">
    <x:tableColumn id="1" name="Response ID"/>
    <x:tableColumn id="2" name="Submitted at"/>
    <x:tableColumn id="3" name="Schema"/>
    <x:tableColumn id="4" name="Language"/>
    <x:tableColumn id="5" name="Role"/>
    <x:tableColumn id="6" name="City group"/>
    <x:tableColumn id="7" name="City detail"/>
    <x:tableColumn id="8" name="Recent four-wheel"/>
    <x:tableColumn id="9" name="Pickup difficulty"/>
    <x:tableColumn id="10" name="Issue flag"/>
    <x:tableColumn id="11" name="Main story"/>
    <x:tableColumn id="12" name="Confusion start"/>
    <x:tableColumn id="13" name="Actions and reasoning"/>
    <x:tableColumn id="14" name="Frustration or missing help"/>
    <x:tableColumn id="15" name="What happened"/>
    <x:tableColumn id="16" name="Locations"/>
    <x:tableColumn id="17" name="Actions"/>
    <x:tableColumn id="18" name="Actions other"/>
    <x:tableColumn id="19" name="Extra time"/>
    <x:tableColumn id="20" name="What helped"/>
    <x:tableColumn id="21" name="Repeated"/>
    <x:tableColumn id="22" name="Additional comment"/>
    <x:tableColumn id="23" name="Qualitative coverage"/>
    <x:tableColumn id="24" name="In-scope flag"/>
    <x:tableColumn id="25" name="Hyderabad flag"/>
    <x:tableColumn id="26" name="Over five minutes flag"/>
    <x:tableColumn id="27" name="Current issue with story"/>
    <x:tableColumn id="28" name="All four open answers"/>
    <x:tableColumn id="29" name="All four detailed answer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dd5fe9e367845c2" /></Relationships>
</file>

<file path=xl/worksheets/_rels/sheet2.xml.rels>&#65279;<?xml version="1.0" encoding="utf-8"?><Relationships xmlns="http://schemas.openxmlformats.org/package/2006/relationships"><Relationship Type="http://schemas.openxmlformats.org/officeDocument/2006/relationships/table" Target="/xl/tables/table1.xml" Id="Rdbfae6777e3040e2" /></Relationships>
</file>

<file path=xl/worksheets/sheet1.xml><?xml version="1.0" encoding="utf-8"?>
<x:worksheet xmlns:x="http://schemas.openxmlformats.org/spreadsheetml/2006/main">
  <x:sheetPr>
    <x:tabColor rgb="FF17223B"/>
  </x:sheetPr>
  <x:sheetViews>
    <x:sheetView showGridLines="0" workbookViewId="0"/>
  </x:sheetViews>
  <x:sheetFormatPr defaultRowHeight="15"/>
  <x:cols>
    <x:col min="1" max="1" width="23" hidden="0" customWidth="1"/>
    <x:col min="2" max="2" width="13" hidden="0" customWidth="1"/>
    <x:col min="3" max="3" width="34" hidden="0" customWidth="1"/>
    <x:col min="4" max="4" width="3" hidden="0" customWidth="1"/>
    <x:col min="5" max="5" width="24" hidden="0" customWidth="1"/>
    <x:col min="6" max="6" width="12" hidden="0" customWidth="1"/>
    <x:col min="7" max="7" width="29" hidden="0" customWidth="1"/>
    <x:col min="8" max="8" width="20" hidden="0" customWidth="1"/>
    <x:col min="9" max="9" width="12"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s>
  <x:sheetData>
    <x:row r="1">
      <x:c r="A1" s="23"/>
      <x:c r="B1" s="23"/>
      <x:c r="C1" s="23"/>
      <x:c r="D1" s="23"/>
      <x:c r="E1" s="23"/>
      <x:c r="F1" s="23"/>
      <x:c r="G1" s="23"/>
      <x:c r="H1" s="23"/>
      <x:c r="I1" s="23"/>
      <x:c r="J1" s="23"/>
      <x:c r="K1" s="23"/>
      <x:c r="L1" s="23"/>
      <x:c r="M1" s="23"/>
      <x:c r="N1" s="23"/>
      <x:c r="O1" s="23"/>
      <x:c r="P1" s="23"/>
      <x:c r="Q1" s="23"/>
    </x:row>
    <x:row r="2">
      <x:c r="A2" s="15" t="str">
        <x:v>Uber Find My Ride — anonymized survey evidence</x:v>
      </x:c>
      <x:c r="B2" s="15"/>
      <x:c r="C2" s="15"/>
      <x:c r="D2" s="15"/>
      <x:c r="E2" s="15"/>
      <x:c r="F2" s="15"/>
      <x:c r="G2" s="15"/>
      <x:c r="H2" s="15"/>
      <x:c r="I2" s="15"/>
      <x:c r="J2" s="15"/>
      <x:c r="K2" s="15"/>
      <x:c r="L2" s="15"/>
      <x:c r="M2" s="15"/>
      <x:c r="N2" s="15"/>
      <x:c r="O2" s="15"/>
      <x:c r="P2" s="15"/>
      <x:c r="Q2" s="15"/>
    </x:row>
    <x:row r="3">
      <x:c r="A3" s="16"/>
      <x:c r="B3" s="16"/>
      <x:c r="C3" s="16"/>
      <x:c r="D3" s="16"/>
      <x:c r="E3" s="16"/>
      <x:c r="F3" s="16"/>
      <x:c r="G3" s="16"/>
      <x:c r="H3" s="16"/>
      <x:c r="I3" s="16"/>
      <x:c r="J3" s="16"/>
      <x:c r="K3" s="16"/>
      <x:c r="L3" s="16"/>
      <x:c r="M3" s="16"/>
      <x:c r="N3" s="16"/>
      <x:c r="O3" s="16"/>
      <x:c r="P3" s="16"/>
      <x:c r="Q3" s="16"/>
    </x:row>
    <x:row r="4">
      <x:c r="A4" s="22" t="str">
        <x:v>Metric</x:v>
      </x:c>
      <x:c r="B4" s="22" t="str">
        <x:v>Result</x:v>
      </x:c>
      <x:c r="C4" s="22" t="str">
        <x:v>Evidence boundary</x:v>
      </x:c>
      <x:c r="E4" s="22" t="str">
        <x:v>Issue status</x:v>
      </x:c>
      <x:c r="F4" s="22" t="str">
        <x:v>Responses</x:v>
      </x:c>
    </x:row>
    <x:row r="5">
      <x:c r="A5" s="26" t="str">
        <x:v>Unique submissions</x:v>
      </x:c>
      <x:c r="B5" s="30" t="n">
        <x:f>COUNTA('Anonymized Responses'!A2:A63)</x:f>
        <x:v>62</x:v>
      </x:c>
      <x:c r="C5" s="37" t="str">
        <x:v>63 valid submissions less one confirmed duplicate (R032)</x:v>
      </x:c>
      <x:c r="E5" s="23" t="str">
        <x:v>Issue / unsure</x:v>
      </x:c>
      <x:c r="F5" s="23" t="n">
        <x:f>COUNTIF('Anonymized Responses'!J2:J63,1)</x:f>
        <x:v>28</x:v>
      </x:c>
      <x:c r="G5" s="23"/>
      <x:c r="H5" s="23"/>
      <x:c r="I5" s="23"/>
    </x:row>
    <x:row r="6">
      <x:c r="A6" s="27" t="str">
        <x:v>Riders</x:v>
      </x:c>
      <x:c r="B6" s="31" t="n">
        <x:f>COUNTIF('Anonymized Responses'!E2:E63,"rider")</x:f>
        <x:v>58</x:v>
      </x:c>
      <x:c r="C6" s="38" t="str">
        <x:v>Directional convenience sample</x:v>
      </x:c>
      <x:c r="E6" s="23" t="str">
        <x:v>No difficulty</x:v>
      </x:c>
      <x:c r="F6" s="23" t="n">
        <x:f>COUNTIF('Anonymized Responses'!J2:J63,0)</x:f>
        <x:v>34</x:v>
      </x:c>
      <x:c r="G6" s="23"/>
      <x:c r="H6" s="23"/>
      <x:c r="I6" s="23"/>
    </x:row>
    <x:row r="7">
      <x:c r="A7" s="27" t="str">
        <x:v>Drivers</x:v>
      </x:c>
      <x:c r="B7" s="31" t="n">
        <x:f>COUNTIF('Anonymized Responses'!E2:E63,"driver")</x:f>
        <x:v>4</x:v>
      </x:c>
      <x:c r="C7" s="38" t="str">
        <x:v>Two-sided evidence remains thin</x:v>
      </x:c>
      <x:c r="E7" s="23"/>
      <x:c r="F7" s="23"/>
      <x:c r="G7" s="23"/>
      <x:c r="H7" s="23"/>
      <x:c r="I7" s="23"/>
    </x:row>
    <x:row r="8">
      <x:c r="A8" s="27" t="str">
        <x:v>Recent four-wheel users</x:v>
      </x:c>
      <x:c r="B8" s="31" t="n">
        <x:f>COUNTIF('Anonymized Responses'!H2:H63,"yes")</x:f>
        <x:v>51</x:v>
      </x:c>
      <x:c r="C8" s="38" t="str">
        <x:v>Reported recent four-wheel use</x:v>
      </x:c>
      <x:c r="E8" s="23"/>
      <x:c r="F8" s="23"/>
      <x:c r="G8" s="23"/>
      <x:c r="H8" s="23"/>
      <x:c r="I8" s="23"/>
    </x:row>
    <x:row r="9">
      <x:c r="A9" s="27" t="str">
        <x:v>Recent users reporting difficulty</x:v>
      </x:c>
      <x:c r="B9" s="31" t="n">
        <x:f>COUNTIFS('Anonymized Responses'!H2:H63,"yes",'Anonymized Responses'!J2:J63,1)</x:f>
        <x:v>24</x:v>
      </x:c>
      <x:c r="C9" s="38" t="str">
        <x:v>24 of 51 recent users</x:v>
      </x:c>
      <x:c r="E9" s="25" t="str">
        <x:v>Problem location</x:v>
      </x:c>
      <x:c r="F9" s="25" t="str">
        <x:v>Mentions</x:v>
      </x:c>
      <x:c r="G9" s="23"/>
      <x:c r="H9" s="25" t="str">
        <x:v>Recovery action</x:v>
      </x:c>
      <x:c r="I9" s="25" t="str">
        <x:v>Mentions</x:v>
      </x:c>
    </x:row>
    <x:row r="10">
      <x:c r="A10" s="27" t="str">
        <x:v>Difficulty rate among recent users</x:v>
      </x:c>
      <x:c r="B10" s="32" t="n">
        <x:f>B9/B8</x:f>
        <x:v>0.47058823529411764</x:v>
      </x:c>
      <x:c r="C10" s="38" t="str">
        <x:v>Sample share, not Hyderabad prevalence</x:v>
      </x:c>
      <x:c r="E10" s="23" t="str">
        <x:v>Airport</x:v>
      </x:c>
      <x:c r="F10" s="23" t="n">
        <x:v>10</x:v>
      </x:c>
      <x:c r="G10" s="23"/>
      <x:c r="H10" s="23" t="str">
        <x:v>Called</x:v>
      </x:c>
      <x:c r="I10" s="23" t="n">
        <x:v>17</x:v>
      </x:c>
    </x:row>
    <x:row r="11">
      <x:c r="A11" s="27" t="str">
        <x:v>Issue / uncertainty cases</x:v>
      </x:c>
      <x:c r="B11" s="31" t="n">
        <x:f>COUNTIF('Anonymized Responses'!J2:J63,1)</x:f>
        <x:v>28</x:v>
      </x:c>
      <x:c r="C11" s="38" t="str">
        <x:v>28 total issue cases</x:v>
      </x:c>
      <x:c r="E11" s="23" t="str">
        <x:v>Residential / gated</x:v>
      </x:c>
      <x:c r="F11" s="23" t="n">
        <x:v>7</x:v>
      </x:c>
      <x:c r="G11" s="23"/>
      <x:c r="H11" s="23" t="str">
        <x:v>Waited</x:v>
      </x:c>
      <x:c r="I11" s="23" t="n">
        <x:v>9</x:v>
      </x:c>
    </x:row>
    <x:row r="12">
      <x:c r="A12" s="27" t="str">
        <x:v>Repeated among issue cases</x:v>
      </x:c>
      <x:c r="B12" s="31" t="n">
        <x:f>COUNTIFS('Anonymized Responses'!J2:J63,1,'Anonymized Responses'!U2:U63,"yes")</x:f>
        <x:v>23</x:v>
      </x:c>
      <x:c r="C12" s="38" t="str">
        <x:v>23 of 28 issue cases</x:v>
      </x:c>
      <x:c r="E12" s="23" t="str">
        <x:v>Shopping mall</x:v>
      </x:c>
      <x:c r="F12" s="23" t="n">
        <x:v>6</x:v>
      </x:c>
      <x:c r="G12" s="23"/>
      <x:c r="H12" s="23" t="str">
        <x:v>Moved</x:v>
      </x:c>
      <x:c r="I12" s="23" t="n">
        <x:v>8</x:v>
      </x:c>
    </x:row>
    <x:row r="13">
      <x:c r="A13" s="27" t="str">
        <x:v>Hyderabad submissions</x:v>
      </x:c>
      <x:c r="B13" s="31" t="n">
        <x:f>COUNTIF('Anonymized Responses'!F2:F63,"Hyderabad")</x:f>
        <x:v>33</x:v>
      </x:c>
      <x:c r="C13" s="38" t="str">
        <x:v>Primary-city responses</x:v>
      </x:c>
      <x:c r="E13" s="23" t="str">
        <x:v>Office / tech campus</x:v>
      </x:c>
      <x:c r="F13" s="23" t="n">
        <x:v>6</x:v>
      </x:c>
      <x:c r="G13" s="23"/>
      <x:c r="H13" s="23" t="str">
        <x:v>Messaged</x:v>
      </x:c>
      <x:c r="I13" s="23" t="n">
        <x:v>5</x:v>
      </x:c>
    </x:row>
    <x:row r="14">
      <x:c r="A14" s="27" t="str">
        <x:v>Other-city submissions</x:v>
      </x:c>
      <x:c r="B14" s="31" t="n">
        <x:f>COUNTIF('Anonymized Responses'!F2:F63,"Other")</x:f>
        <x:v>29</x:v>
      </x:c>
      <x:c r="C14" s="38" t="str">
        <x:v>Comparison evidence</x:v>
      </x:c>
      <x:c r="E14" s="23" t="str">
        <x:v>Metro / railway</x:v>
      </x:c>
      <x:c r="F14" s="23" t="n">
        <x:v>5</x:v>
      </x:c>
      <x:c r="G14" s="23"/>
      <x:c r="H14" s="23" t="str">
        <x:v>Cancelled</x:v>
      </x:c>
      <x:c r="I14" s="23" t="n">
        <x:v>4</x:v>
      </x:c>
    </x:row>
    <x:row r="15">
      <x:c r="A15" s="29" t="str">
        <x:v>Hyderabad recent difficulty</x:v>
      </x:c>
      <x:c r="B15" s="33" t="n">
        <x:f>COUNTIFS('Anonymized Responses'!F2:F63,"Hyderabad",'Anonymized Responses'!H2:H63,"yes",'Anonymized Responses'!J2:J63,1)</x:f>
        <x:v>11</x:v>
      </x:c>
      <x:c r="C15" s="39" t="str">
        <x:v>11 of 27 Hyderabad recent users</x:v>
      </x:c>
      <x:c r="E15" s="23" t="str">
        <x:v>Busy street</x:v>
      </x:c>
      <x:c r="F15" s="23" t="n">
        <x:v>3</x:v>
      </x:c>
      <x:c r="G15" s="23"/>
      <x:c r="H15" s="23" t="str">
        <x:v>Other</x:v>
      </x:c>
      <x:c r="I15" s="23" t="n">
        <x:v>1</x:v>
      </x:c>
    </x:row>
    <x:row r="16">
      <x:c r="E16" s="23" t="str">
        <x:v>Hotel / event</x:v>
      </x:c>
      <x:c r="F16" s="23" t="n">
        <x:v>2</x:v>
      </x:c>
      <x:c r="G16" s="23"/>
      <x:c r="H16" s="23"/>
      <x:c r="I16" s="23"/>
    </x:row>
    <x:row r="17">
      <x:c r="E17" s="23" t="str">
        <x:v>Hospital</x:v>
      </x:c>
      <x:c r="F17" s="23" t="n">
        <x:v>1</x:v>
      </x:c>
      <x:c r="G17" s="23"/>
      <x:c r="H17" s="23"/>
      <x:c r="I17" s="23"/>
    </x:row>
    <x:row r="18">
      <x:c r="A18" s="22" t="str">
        <x:v>Insight</x:v>
      </x:c>
      <x:c r="B18" s="22" t="str">
        <x:v>Evidence</x:v>
      </x:c>
      <x:c r="C18" s="22" t="str">
        <x:v>Direct quote</x:v>
      </x:c>
      <x:c r="D18" s="22" t="str">
        <x:v>Strength</x:v>
      </x:c>
      <x:c r="E18" s="22" t="str"/>
      <x:c r="F18" s="22" t="str"/>
      <x:c r="G18" s="22" t="str"/>
      <x:c r="H18" s="22" t="str"/>
      <x:c r="I18" s="22" t="str"/>
    </x:row>
    <x:row r="19" ht="42" customHeight="1">
      <x:c r="A19" s="40" t="str">
        <x:v>Pickup difficulty is meaningful, not universal</x:v>
      </x:c>
      <x:c r="B19" s="40"/>
      <x:c r="C19" s="40" t="str">
        <x:v>24 of 51 recent users reported difficulty</x:v>
      </x:c>
      <x:c r="D19" s="40"/>
      <x:c r="E19" s="40"/>
      <x:c r="F19" s="40"/>
      <x:c r="G19" s="40" t="str">
        <x:v>“On the whole the experience is good. Exceptions will always be there.” — R030</x:v>
      </x:c>
      <x:c r="H19" s="40"/>
      <x:c r="I19" s="34" t="str">
        <x:v>Strong</x:v>
      </x:c>
    </x:row>
    <x:row r="20" ht="42" customHeight="1">
      <x:c r="A20" s="41" t="str">
        <x:v>Calls/messages are the main recovery layer</x:v>
      </x:c>
      <x:c r="B20" s="41"/>
      <x:c r="C20" s="41" t="str">
        <x:v>20 of 28 issue cases said calls/messages helped</x:v>
      </x:c>
      <x:c r="D20" s="41"/>
      <x:c r="E20" s="41"/>
      <x:c r="F20" s="41"/>
      <x:c r="G20" s="41" t="str">
        <x:v>“We talked to each other.” — R063</x:v>
      </x:c>
      <x:c r="H20" s="41"/>
      <x:c r="I20" s="35" t="str">
        <x:v>Strong</x:v>
      </x:c>
    </x:row>
    <x:row r="21" ht="42" customHeight="1">
      <x:c r="A21" s="41" t="str">
        <x:v>Complex locations concentrate coordination failures</x:v>
      </x:c>
      <x:c r="B21" s="41"/>
      <x:c r="C21" s="41" t="str">
        <x:v>Airport 10; residential 7; mall 6; office 6 mentions</x:v>
      </x:c>
      <x:c r="D21" s="41"/>
      <x:c r="E21" s="41"/>
      <x:c r="F21" s="41"/>
      <x:c r="G21" s="41" t="str">
        <x:v>“No clarity.” — R063</x:v>
      </x:c>
      <x:c r="H21" s="41"/>
      <x:c r="I21" s="35" t="str">
        <x:v>Strong</x:v>
      </x:c>
    </x:row>
    <x:row r="22" ht="42" customHeight="1">
      <x:c r="A22" s="41" t="str">
        <x:v>Arrived state can precede a successful meeting</x:v>
      </x:c>
      <x:c r="B22" s="41"/>
      <x:c r="C22" s="41" t="str">
        <x:v>One detailed account reported almost 10 minutes to locate each other</x:v>
      </x:c>
      <x:c r="D22" s="41"/>
      <x:c r="E22" s="41"/>
      <x:c r="F22" s="41"/>
      <x:c r="G22" s="41" t="str">
        <x:v>“The app says he has arrived, but almost 10 minutes to locate each other.” — R067</x:v>
      </x:c>
      <x:c r="H22" s="41"/>
      <x:c r="I22" s="35" t="str">
        <x:v>Moderate</x:v>
      </x:c>
    </x:row>
    <x:row r="23" ht="42" customHeight="1">
      <x:c r="A23" s="42" t="str">
        <x:v>Driver-side conclusions remain premature</x:v>
      </x:c>
      <x:c r="B23" s="42"/>
      <x:c r="C23" s="42" t="str">
        <x:v>Only 4 of 62 responses came from drivers</x:v>
      </x:c>
      <x:c r="D23" s="42"/>
      <x:c r="E23" s="42"/>
      <x:c r="F23" s="42"/>
      <x:c r="G23" s="42" t="str">
        <x:v>No driver-generalization claim made</x:v>
      </x:c>
      <x:c r="H23" s="42"/>
      <x:c r="I23" s="36" t="str">
        <x:v>Limitation</x:v>
      </x:c>
    </x:row>
  </x:sheetData>
  <x:mergeCells>
    <x:mergeCell ref="A2:Q2"/>
    <x:mergeCell ref="A18:B18"/>
    <x:mergeCell ref="C18:F18"/>
    <x:mergeCell ref="G18:H18"/>
    <x:mergeCell ref="A19:B19"/>
    <x:mergeCell ref="A20:B20"/>
    <x:mergeCell ref="A21:B21"/>
    <x:mergeCell ref="A22:B22"/>
    <x:mergeCell ref="A23:B23"/>
    <x:mergeCell ref="C19:F19"/>
    <x:mergeCell ref="C20:F20"/>
    <x:mergeCell ref="C21:F21"/>
    <x:mergeCell ref="C22:F22"/>
    <x:mergeCell ref="C23:F23"/>
    <x:mergeCell ref="G19:H19"/>
    <x:mergeCell ref="G20:H20"/>
    <x:mergeCell ref="G21:H21"/>
    <x:mergeCell ref="G22:H22"/>
    <x:mergeCell ref="G23:H23"/>
  </x:mergeCells>
  <x:pageMargins left="0.7" right="0.7" top="0.75" bottom="0.75" header="0.3" footer="0.3"/>
  <x:drawing xmlns:r="http://schemas.openxmlformats.org/officeDocument/2006/relationships" r:id="R3dd5fe9e367845c2"/>
</x:worksheet>
</file>

<file path=xl/worksheets/sheet2.xml><?xml version="1.0" encoding="utf-8"?>
<x:worksheet xmlns:x="http://schemas.openxmlformats.org/spreadsheetml/2006/main">
  <x:sheetPr>
    <x:tabColor rgb="FF00B6C9"/>
  </x:sheetPr>
  <x:sheetViews>
    <x:sheetView showGridLines="0" workbookViewId="0">
      <x:pane xSplit="2" ySplit="1" topLeftCell="C2" activePane="bottomRight" state="frozen"/>
    </x:sheetView>
  </x:sheetViews>
  <x:sheetFormatPr defaultRowHeight="15"/>
  <x:cols>
    <x:col min="1" max="1" width="12" hidden="0" customWidth="1"/>
    <x:col min="2" max="2" width="21"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34" hidden="0" customWidth="1"/>
    <x:col min="12" max="12" width="34" hidden="0" customWidth="1"/>
    <x:col min="13" max="13" width="34" hidden="0" customWidth="1"/>
    <x:col min="14" max="14" width="34"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s>
  <x:sheetData>
    <x:row r="1">
      <x:c r="A1" s="9" t="str">
        <x:v>Response ID</x:v>
      </x:c>
      <x:c r="B1" s="9" t="str">
        <x:v>Submitted at</x:v>
      </x:c>
      <x:c r="C1" s="9" t="str">
        <x:v>Schema</x:v>
      </x:c>
      <x:c r="D1" s="9" t="str">
        <x:v>Language</x:v>
      </x:c>
      <x:c r="E1" s="9" t="str">
        <x:v>Role</x:v>
      </x:c>
      <x:c r="F1" s="9" t="str">
        <x:v>City group</x:v>
      </x:c>
      <x:c r="G1" s="9" t="str">
        <x:v>City detail</x:v>
      </x:c>
      <x:c r="H1" s="9" t="str">
        <x:v>Recent four-wheel</x:v>
      </x:c>
      <x:c r="I1" s="9" t="str">
        <x:v>Pickup difficulty</x:v>
      </x:c>
      <x:c r="J1" s="9" t="str">
        <x:v>Issue flag</x:v>
      </x:c>
      <x:c r="K1" s="9" t="str">
        <x:v>Main story</x:v>
      </x:c>
      <x:c r="L1" s="9" t="str">
        <x:v>Confusion start</x:v>
      </x:c>
      <x:c r="M1" s="9" t="str">
        <x:v>Actions and reasoning</x:v>
      </x:c>
      <x:c r="N1" s="9" t="str">
        <x:v>Frustration or missing help</x:v>
      </x:c>
      <x:c r="O1" s="9" t="str">
        <x:v>What happened</x:v>
      </x:c>
      <x:c r="P1" s="9" t="str">
        <x:v>Locations</x:v>
      </x:c>
      <x:c r="Q1" s="9" t="str">
        <x:v>Actions</x:v>
      </x:c>
      <x:c r="R1" s="9" t="str">
        <x:v>Actions other</x:v>
      </x:c>
      <x:c r="S1" s="9" t="str">
        <x:v>Extra time</x:v>
      </x:c>
      <x:c r="T1" s="9" t="str">
        <x:v>What helped</x:v>
      </x:c>
      <x:c r="U1" s="9" t="str">
        <x:v>Repeated</x:v>
      </x:c>
      <x:c r="V1" s="9" t="str">
        <x:v>Additional comment</x:v>
      </x:c>
      <x:c r="W1" s="9" t="str">
        <x:v>Qualitative coverage</x:v>
      </x:c>
      <x:c r="X1" s="9" t="str">
        <x:v>In-scope flag</x:v>
      </x:c>
      <x:c r="Y1" s="9" t="str">
        <x:v>Hyderabad flag</x:v>
      </x:c>
      <x:c r="Z1" s="9" t="str">
        <x:v>Over five minutes flag</x:v>
      </x:c>
      <x:c r="AA1" s="9" t="str">
        <x:v>Current issue with story</x:v>
      </x:c>
      <x:c r="AB1" s="9" t="str">
        <x:v>All four open answers</x:v>
      </x:c>
      <x:c r="AC1" s="9" t="str">
        <x:v>All four detailed answers</x:v>
      </x:c>
    </x:row>
    <x:row r="2">
      <x:c r="A2" s="10" t="str">
        <x:v>R004</x:v>
      </x:c>
      <x:c r="B2" s="11" t="n">
        <x:v>46282.13739380787</x:v>
      </x:c>
      <x:c r="C2" s="12" t="str">
        <x:v>Legacy</x:v>
      </x:c>
      <x:c r="D2" s="12" t="str">
        <x:v>en</x:v>
      </x:c>
      <x:c r="E2" s="12" t="str">
        <x:v>rider</x:v>
      </x:c>
      <x:c r="F2" s="12" t="str">
        <x:v>Hyderabad</x:v>
      </x:c>
      <x:c r="G2" s="12" t="str">
        <x:v>Hyderabad</x:v>
      </x:c>
      <x:c r="H2" s="12" t="str">
        <x:v>yes</x:v>
      </x:c>
      <x:c r="I2" s="12" t="str">
        <x:v>no</x:v>
      </x:c>
      <x:c r="J2" s="12" t="n">
        <x:v>0</x:v>
      </x:c>
      <x:c r="K2" s="13" t="str"/>
      <x:c r="L2" s="13" t="str"/>
      <x:c r="M2" s="13" t="str"/>
      <x:c r="N2" s="13" t="str"/>
      <x:c r="O2" s="13" t="str"/>
      <x:c r="P2" s="13" t="str"/>
      <x:c r="Q2" s="13" t="str"/>
      <x:c r="R2" s="13" t="str"/>
      <x:c r="S2" s="13" t="str"/>
      <x:c r="T2" s="13" t="str"/>
      <x:c r="U2" s="13" t="str"/>
      <x:c r="V2" s="13" t="str"/>
      <x:c r="W2" s="12" t="str">
        <x:v>No issue detail</x:v>
      </x:c>
      <x:c r="X2" s="12" t="n">
        <x:v>1</x:v>
      </x:c>
      <x:c r="Y2" s="12" t="n">
        <x:v>1</x:v>
      </x:c>
      <x:c r="Z2" s="12" t="n">
        <x:v>0</x:v>
      </x:c>
      <x:c r="AA2" s="12" t="n">
        <x:v>0</x:v>
      </x:c>
      <x:c r="AB2" s="12" t="n">
        <x:v>0</x:v>
      </x:c>
      <x:c r="AC2" s="12" t="n">
        <x:v>0</x:v>
      </x:c>
    </x:row>
    <x:row r="3">
      <x:c r="A3" s="10" t="str">
        <x:v>R005</x:v>
      </x:c>
      <x:c r="B3" s="11" t="n">
        <x:v>46282.147941180556</x:v>
      </x:c>
      <x:c r="C3" s="12" t="str">
        <x:v>Legacy</x:v>
      </x:c>
      <x:c r="D3" s="12" t="str">
        <x:v>en</x:v>
      </x:c>
      <x:c r="E3" s="12" t="str">
        <x:v>rider</x:v>
      </x:c>
      <x:c r="F3" s="12" t="str">
        <x:v>Hyderabad</x:v>
      </x:c>
      <x:c r="G3" s="12" t="str">
        <x:v>Hyderabad</x:v>
      </x:c>
      <x:c r="H3" s="12" t="str">
        <x:v>yes</x:v>
      </x:c>
      <x:c r="I3" s="12" t="str">
        <x:v>yes</x:v>
      </x:c>
      <x:c r="J3" s="12" t="n">
        <x:v>1</x:v>
      </x:c>
      <x:c r="K3" s="13" t="str"/>
      <x:c r="L3" s="13" t="str"/>
      <x:c r="M3" s="13" t="str"/>
      <x:c r="N3" s="13" t="str"/>
      <x:c r="O3" s="13" t="str"/>
      <x:c r="P3" s="13" t="str">
        <x:v>mall</x:v>
      </x:c>
      <x:c r="Q3" s="13" t="str">
        <x:v>called</x:v>
      </x:c>
      <x:c r="R3" s="13" t="str"/>
      <x:c r="S3" s="13" t="str"/>
      <x:c r="T3" s="13" t="str">
        <x:v>driver_moved</x:v>
      </x:c>
      <x:c r="U3" s="13" t="str">
        <x:v>no</x:v>
      </x:c>
      <x:c r="V3" s="13" t="str"/>
      <x:c r="W3" s="12" t="str">
        <x:v>Structured only</x:v>
      </x:c>
      <x:c r="X3" s="12" t="n">
        <x:v>1</x:v>
      </x:c>
      <x:c r="Y3" s="12" t="n">
        <x:v>1</x:v>
      </x:c>
      <x:c r="Z3" s="12" t="n">
        <x:v>0</x:v>
      </x:c>
      <x:c r="AA3" s="12" t="n">
        <x:v>0</x:v>
      </x:c>
      <x:c r="AB3" s="12" t="n">
        <x:v>0</x:v>
      </x:c>
      <x:c r="AC3" s="12" t="n">
        <x:v>0</x:v>
      </x:c>
    </x:row>
    <x:row r="4">
      <x:c r="A4" s="10" t="str">
        <x:v>R006</x:v>
      </x:c>
      <x:c r="B4" s="11" t="n">
        <x:v>46282.15152380787</x:v>
      </x:c>
      <x:c r="C4" s="12" t="str">
        <x:v>Legacy</x:v>
      </x:c>
      <x:c r="D4" s="12" t="str">
        <x:v>en</x:v>
      </x:c>
      <x:c r="E4" s="12" t="str">
        <x:v>rider</x:v>
      </x:c>
      <x:c r="F4" s="12" t="str">
        <x:v>Hyderabad</x:v>
      </x:c>
      <x:c r="G4" s="12" t="str">
        <x:v>Hyderabad</x:v>
      </x:c>
      <x:c r="H4" s="12" t="str">
        <x:v>yes</x:v>
      </x:c>
      <x:c r="I4" s="12" t="str">
        <x:v>yes</x:v>
      </x:c>
      <x:c r="J4" s="12" t="n">
        <x:v>1</x:v>
      </x:c>
      <x:c r="K4" s="13" t="str"/>
      <x:c r="L4" s="13" t="str"/>
      <x:c r="M4" s="13" t="str"/>
      <x:c r="N4" s="13" t="str"/>
      <x:c r="O4" s="13" t="str"/>
      <x:c r="P4" s="13" t="str">
        <x:v>residential</x:v>
      </x:c>
      <x:c r="Q4" s="13" t="str">
        <x:v>moved</x:v>
      </x:c>
      <x:c r="R4" s="13" t="str"/>
      <x:c r="S4" s="13" t="str"/>
      <x:c r="T4" s="13" t="str">
        <x:v>called_messaged</x:v>
      </x:c>
      <x:c r="U4" s="13" t="str">
        <x:v>yes</x:v>
      </x:c>
      <x:c r="V4" s="13" t="str"/>
      <x:c r="W4" s="12" t="str">
        <x:v>Structured only</x:v>
      </x:c>
      <x:c r="X4" s="12" t="n">
        <x:v>1</x:v>
      </x:c>
      <x:c r="Y4" s="12" t="n">
        <x:v>1</x:v>
      </x:c>
      <x:c r="Z4" s="12" t="n">
        <x:v>0</x:v>
      </x:c>
      <x:c r="AA4" s="12" t="n">
        <x:v>0</x:v>
      </x:c>
      <x:c r="AB4" s="12" t="n">
        <x:v>0</x:v>
      </x:c>
      <x:c r="AC4" s="12" t="n">
        <x:v>0</x:v>
      </x:c>
    </x:row>
    <x:row r="5">
      <x:c r="A5" s="10" t="str">
        <x:v>R007</x:v>
      </x:c>
      <x:c r="B5" s="11" t="n">
        <x:v>46282.16055638889</x:v>
      </x:c>
      <x:c r="C5" s="12" t="str">
        <x:v>Legacy</x:v>
      </x:c>
      <x:c r="D5" s="12" t="str">
        <x:v>en</x:v>
      </x:c>
      <x:c r="E5" s="12" t="str">
        <x:v>rider</x:v>
      </x:c>
      <x:c r="F5" s="12" t="str">
        <x:v>Hyderabad</x:v>
      </x:c>
      <x:c r="G5" s="12" t="str">
        <x:v>Hyderabad</x:v>
      </x:c>
      <x:c r="H5" s="12" t="str">
        <x:v>yes</x:v>
      </x:c>
      <x:c r="I5" s="12" t="str">
        <x:v>yes</x:v>
      </x:c>
      <x:c r="J5" s="12" t="n">
        <x:v>1</x:v>
      </x:c>
      <x:c r="K5" s="13" t="str"/>
      <x:c r="L5" s="13" t="str"/>
      <x:c r="M5" s="13" t="str"/>
      <x:c r="N5" s="13" t="str"/>
      <x:c r="O5" s="13" t="str"/>
      <x:c r="P5" s="13" t="str">
        <x:v>airport</x:v>
      </x:c>
      <x:c r="Q5" s="13" t="str">
        <x:v>called</x:v>
      </x:c>
      <x:c r="R5" s="13" t="str"/>
      <x:c r="S5" s="13" t="str"/>
      <x:c r="T5" s="13" t="str">
        <x:v>called_messaged</x:v>
      </x:c>
      <x:c r="U5" s="13" t="str">
        <x:v>yes</x:v>
      </x:c>
      <x:c r="V5" s="13" t="str"/>
      <x:c r="W5" s="12" t="str">
        <x:v>Structured only</x:v>
      </x:c>
      <x:c r="X5" s="12" t="n">
        <x:v>1</x:v>
      </x:c>
      <x:c r="Y5" s="12" t="n">
        <x:v>1</x:v>
      </x:c>
      <x:c r="Z5" s="12" t="n">
        <x:v>0</x:v>
      </x:c>
      <x:c r="AA5" s="12" t="n">
        <x:v>0</x:v>
      </x:c>
      <x:c r="AB5" s="12" t="n">
        <x:v>0</x:v>
      </x:c>
      <x:c r="AC5" s="12" t="n">
        <x:v>0</x:v>
      </x:c>
    </x:row>
    <x:row r="6">
      <x:c r="A6" s="10" t="str">
        <x:v>R008</x:v>
      </x:c>
      <x:c r="B6" s="11" t="n">
        <x:v>46282.161004664355</x:v>
      </x:c>
      <x:c r="C6" s="12" t="str">
        <x:v>Legacy</x:v>
      </x:c>
      <x:c r="D6" s="12" t="str">
        <x:v>en</x:v>
      </x:c>
      <x:c r="E6" s="12" t="str">
        <x:v>rider</x:v>
      </x:c>
      <x:c r="F6" s="12" t="str">
        <x:v>Hyderabad</x:v>
      </x:c>
      <x:c r="G6" s="12" t="str">
        <x:v>Hyderabad</x:v>
      </x:c>
      <x:c r="H6" s="12" t="str">
        <x:v>yes</x:v>
      </x:c>
      <x:c r="I6" s="12" t="str">
        <x:v>no</x:v>
      </x:c>
      <x:c r="J6" s="12" t="n">
        <x:v>0</x:v>
      </x:c>
      <x:c r="K6" s="13" t="str"/>
      <x:c r="L6" s="13" t="str"/>
      <x:c r="M6" s="13" t="str"/>
      <x:c r="N6" s="13" t="str"/>
      <x:c r="O6" s="13" t="str"/>
      <x:c r="P6" s="13" t="str"/>
      <x:c r="Q6" s="13" t="str"/>
      <x:c r="R6" s="13" t="str"/>
      <x:c r="S6" s="13" t="str"/>
      <x:c r="T6" s="13" t="str"/>
      <x:c r="U6" s="13" t="str"/>
      <x:c r="V6" s="13" t="str"/>
      <x:c r="W6" s="12" t="str">
        <x:v>No issue detail</x:v>
      </x:c>
      <x:c r="X6" s="12" t="n">
        <x:v>1</x:v>
      </x:c>
      <x:c r="Y6" s="12" t="n">
        <x:v>1</x:v>
      </x:c>
      <x:c r="Z6" s="12" t="n">
        <x:v>0</x:v>
      </x:c>
      <x:c r="AA6" s="12" t="n">
        <x:v>0</x:v>
      </x:c>
      <x:c r="AB6" s="12" t="n">
        <x:v>0</x:v>
      </x:c>
      <x:c r="AC6" s="12" t="n">
        <x:v>0</x:v>
      </x:c>
    </x:row>
    <x:row r="7">
      <x:c r="A7" s="10" t="str">
        <x:v>R009</x:v>
      </x:c>
      <x:c r="B7" s="11" t="n">
        <x:v>46282.16923814815</x:v>
      </x:c>
      <x:c r="C7" s="12" t="str">
        <x:v>Legacy</x:v>
      </x:c>
      <x:c r="D7" s="12" t="str">
        <x:v>en</x:v>
      </x:c>
      <x:c r="E7" s="12" t="str">
        <x:v>rider</x:v>
      </x:c>
      <x:c r="F7" s="12" t="str">
        <x:v>Hyderabad</x:v>
      </x:c>
      <x:c r="G7" s="12" t="str">
        <x:v>Hyderabad</x:v>
      </x:c>
      <x:c r="H7" s="12" t="str">
        <x:v>no</x:v>
      </x:c>
      <x:c r="I7" s="12" t="str">
        <x:v>no</x:v>
      </x:c>
      <x:c r="J7" s="12" t="n">
        <x:v>0</x:v>
      </x:c>
      <x:c r="K7" s="13" t="str"/>
      <x:c r="L7" s="13" t="str"/>
      <x:c r="M7" s="13" t="str"/>
      <x:c r="N7" s="13" t="str"/>
      <x:c r="O7" s="13" t="str"/>
      <x:c r="P7" s="13" t="str"/>
      <x:c r="Q7" s="13" t="str"/>
      <x:c r="R7" s="13" t="str"/>
      <x:c r="S7" s="13" t="str"/>
      <x:c r="T7" s="13" t="str"/>
      <x:c r="U7" s="13" t="str"/>
      <x:c r="V7" s="13" t="str"/>
      <x:c r="W7" s="12" t="str">
        <x:v>No issue detail</x:v>
      </x:c>
      <x:c r="X7" s="12" t="n">
        <x:v>0</x:v>
      </x:c>
      <x:c r="Y7" s="12" t="n">
        <x:v>1</x:v>
      </x:c>
      <x:c r="Z7" s="12" t="n">
        <x:v>0</x:v>
      </x:c>
      <x:c r="AA7" s="12" t="n">
        <x:v>0</x:v>
      </x:c>
      <x:c r="AB7" s="12" t="n">
        <x:v>0</x:v>
      </x:c>
      <x:c r="AC7" s="12" t="n">
        <x:v>0</x:v>
      </x:c>
    </x:row>
    <x:row r="8">
      <x:c r="A8" s="10" t="str">
        <x:v>R010</x:v>
      </x:c>
      <x:c r="B8" s="11" t="n">
        <x:v>46282.17033681713</x:v>
      </x:c>
      <x:c r="C8" s="12" t="str">
        <x:v>Legacy</x:v>
      </x:c>
      <x:c r="D8" s="12" t="str">
        <x:v>en</x:v>
      </x:c>
      <x:c r="E8" s="12" t="str">
        <x:v>rider</x:v>
      </x:c>
      <x:c r="F8" s="12" t="str">
        <x:v>Other</x:v>
      </x:c>
      <x:c r="G8" s="12" t="str">
        <x:v>Bangalore</x:v>
      </x:c>
      <x:c r="H8" s="12" t="str">
        <x:v>yes</x:v>
      </x:c>
      <x:c r="I8" s="12" t="str">
        <x:v>yes</x:v>
      </x:c>
      <x:c r="J8" s="12" t="n">
        <x:v>1</x:v>
      </x:c>
      <x:c r="K8" s="13" t="str"/>
      <x:c r="L8" s="13" t="str"/>
      <x:c r="M8" s="13" t="str"/>
      <x:c r="N8" s="13" t="str"/>
      <x:c r="O8" s="13" t="str"/>
      <x:c r="P8" s="13" t="str">
        <x:v>mall</x:v>
      </x:c>
      <x:c r="Q8" s="13" t="str">
        <x:v>called</x:v>
      </x:c>
      <x:c r="R8" s="13" t="str"/>
      <x:c r="S8" s="13" t="str"/>
      <x:c r="T8" s="13" t="str">
        <x:v>nothing</x:v>
      </x:c>
      <x:c r="U8" s="13" t="str">
        <x:v>yes</x:v>
      </x:c>
      <x:c r="V8" s="13" t="str"/>
      <x:c r="W8" s="12" t="str">
        <x:v>Structured only</x:v>
      </x:c>
      <x:c r="X8" s="12" t="n">
        <x:v>1</x:v>
      </x:c>
      <x:c r="Y8" s="12" t="n">
        <x:v>0</x:v>
      </x:c>
      <x:c r="Z8" s="12" t="n">
        <x:v>0</x:v>
      </x:c>
      <x:c r="AA8" s="12" t="n">
        <x:v>0</x:v>
      </x:c>
      <x:c r="AB8" s="12" t="n">
        <x:v>0</x:v>
      </x:c>
      <x:c r="AC8" s="12" t="n">
        <x:v>0</x:v>
      </x:c>
    </x:row>
    <x:row r="9">
      <x:c r="A9" s="10" t="str">
        <x:v>R011</x:v>
      </x:c>
      <x:c r="B9" s="11" t="n">
        <x:v>46282.17277697917</x:v>
      </x:c>
      <x:c r="C9" s="12" t="str">
        <x:v>Legacy</x:v>
      </x:c>
      <x:c r="D9" s="12" t="str">
        <x:v>en</x:v>
      </x:c>
      <x:c r="E9" s="12" t="str">
        <x:v>rider</x:v>
      </x:c>
      <x:c r="F9" s="12" t="str">
        <x:v>Hyderabad</x:v>
      </x:c>
      <x:c r="G9" s="12" t="str">
        <x:v>Hyderabad</x:v>
      </x:c>
      <x:c r="H9" s="12" t="str">
        <x:v>yes</x:v>
      </x:c>
      <x:c r="I9" s="12" t="str">
        <x:v>yes</x:v>
      </x:c>
      <x:c r="J9" s="12" t="n">
        <x:v>1</x:v>
      </x:c>
      <x:c r="K9" s="13" t="str"/>
      <x:c r="L9" s="13" t="str"/>
      <x:c r="M9" s="13" t="str"/>
      <x:c r="N9" s="13" t="str"/>
      <x:c r="O9" s="13" t="str"/>
      <x:c r="P9" s="13" t="str">
        <x:v>office</x:v>
      </x:c>
      <x:c r="Q9" s="13" t="str">
        <x:v>waited, messaged, called</x:v>
      </x:c>
      <x:c r="R9" s="13" t="str"/>
      <x:c r="S9" s="13" t="str"/>
      <x:c r="T9" s="13" t="str">
        <x:v>landmark, called_messaged</x:v>
      </x:c>
      <x:c r="U9" s="13" t="str">
        <x:v>yes</x:v>
      </x:c>
      <x:c r="V9" s="13" t="str"/>
      <x:c r="W9" s="12" t="str">
        <x:v>Structured only</x:v>
      </x:c>
      <x:c r="X9" s="12" t="n">
        <x:v>1</x:v>
      </x:c>
      <x:c r="Y9" s="12" t="n">
        <x:v>1</x:v>
      </x:c>
      <x:c r="Z9" s="12" t="n">
        <x:v>0</x:v>
      </x:c>
      <x:c r="AA9" s="12" t="n">
        <x:v>0</x:v>
      </x:c>
      <x:c r="AB9" s="12" t="n">
        <x:v>0</x:v>
      </x:c>
      <x:c r="AC9" s="12" t="n">
        <x:v>0</x:v>
      </x:c>
    </x:row>
    <x:row r="10">
      <x:c r="A10" s="10" t="str">
        <x:v>R012</x:v>
      </x:c>
      <x:c r="B10" s="11" t="n">
        <x:v>46282.173833506946</x:v>
      </x:c>
      <x:c r="C10" s="12" t="str">
        <x:v>Legacy</x:v>
      </x:c>
      <x:c r="D10" s="12" t="str">
        <x:v>en</x:v>
      </x:c>
      <x:c r="E10" s="12" t="str">
        <x:v>rider</x:v>
      </x:c>
      <x:c r="F10" s="12" t="str">
        <x:v>Other</x:v>
      </x:c>
      <x:c r="G10" s="12" t="str">
        <x:v>Bangalore</x:v>
      </x:c>
      <x:c r="H10" s="12" t="str">
        <x:v>yes</x:v>
      </x:c>
      <x:c r="I10" s="12" t="str">
        <x:v>no</x:v>
      </x:c>
      <x:c r="J10" s="12" t="n">
        <x:v>0</x:v>
      </x:c>
      <x:c r="K10" s="13" t="str"/>
      <x:c r="L10" s="13" t="str"/>
      <x:c r="M10" s="13" t="str"/>
      <x:c r="N10" s="13" t="str"/>
      <x:c r="O10" s="13" t="str"/>
      <x:c r="P10" s="13" t="str"/>
      <x:c r="Q10" s="13" t="str"/>
      <x:c r="R10" s="13" t="str"/>
      <x:c r="S10" s="13" t="str"/>
      <x:c r="T10" s="13" t="str"/>
      <x:c r="U10" s="13" t="str"/>
      <x:c r="V10" s="13" t="str"/>
      <x:c r="W10" s="12" t="str">
        <x:v>No issue detail</x:v>
      </x:c>
      <x:c r="X10" s="12" t="n">
        <x:v>1</x:v>
      </x:c>
      <x:c r="Y10" s="12" t="n">
        <x:v>0</x:v>
      </x:c>
      <x:c r="Z10" s="12" t="n">
        <x:v>0</x:v>
      </x:c>
      <x:c r="AA10" s="12" t="n">
        <x:v>0</x:v>
      </x:c>
      <x:c r="AB10" s="12" t="n">
        <x:v>0</x:v>
      </x:c>
      <x:c r="AC10" s="12" t="n">
        <x:v>0</x:v>
      </x:c>
    </x:row>
    <x:row r="11">
      <x:c r="A11" s="10" t="str">
        <x:v>R013</x:v>
      </x:c>
      <x:c r="B11" s="11" t="n">
        <x:v>46282.17421592592</x:v>
      </x:c>
      <x:c r="C11" s="12" t="str">
        <x:v>Legacy</x:v>
      </x:c>
      <x:c r="D11" s="12" t="str">
        <x:v>en</x:v>
      </x:c>
      <x:c r="E11" s="12" t="str">
        <x:v>rider</x:v>
      </x:c>
      <x:c r="F11" s="12" t="str">
        <x:v>Other</x:v>
      </x:c>
      <x:c r="G11" s="12" t="str">
        <x:v>Kolkata</x:v>
      </x:c>
      <x:c r="H11" s="12" t="str">
        <x:v>yes</x:v>
      </x:c>
      <x:c r="I11" s="12" t="str">
        <x:v>yes</x:v>
      </x:c>
      <x:c r="J11" s="12" t="n">
        <x:v>1</x:v>
      </x:c>
      <x:c r="K11" s="13" t="str"/>
      <x:c r="L11" s="13" t="str"/>
      <x:c r="M11" s="13" t="str"/>
      <x:c r="N11" s="13" t="str"/>
      <x:c r="O11" s="13" t="str"/>
      <x:c r="P11" s="13" t="str">
        <x:v>station</x:v>
      </x:c>
      <x:c r="Q11" s="13" t="str">
        <x:v>called, cancelled</x:v>
      </x:c>
      <x:c r="R11" s="13" t="str"/>
      <x:c r="S11" s="13" t="str"/>
      <x:c r="T11" s="13" t="str">
        <x:v>called_messaged, nothing</x:v>
      </x:c>
      <x:c r="U11" s="13" t="str">
        <x:v>yes</x:v>
      </x:c>
      <x:c r="V11" s="13" t="str"/>
      <x:c r="W11" s="12" t="str">
        <x:v>Structured only</x:v>
      </x:c>
      <x:c r="X11" s="12" t="n">
        <x:v>1</x:v>
      </x:c>
      <x:c r="Y11" s="12" t="n">
        <x:v>0</x:v>
      </x:c>
      <x:c r="Z11" s="12" t="n">
        <x:v>0</x:v>
      </x:c>
      <x:c r="AA11" s="12" t="n">
        <x:v>0</x:v>
      </x:c>
      <x:c r="AB11" s="12" t="n">
        <x:v>0</x:v>
      </x:c>
      <x:c r="AC11" s="12" t="n">
        <x:v>0</x:v>
      </x:c>
    </x:row>
    <x:row r="12">
      <x:c r="A12" s="10" t="str">
        <x:v>R014</x:v>
      </x:c>
      <x:c r="B12" s="11" t="n">
        <x:v>46282.175485671294</x:v>
      </x:c>
      <x:c r="C12" s="12" t="str">
        <x:v>Legacy</x:v>
      </x:c>
      <x:c r="D12" s="12" t="str">
        <x:v>en</x:v>
      </x:c>
      <x:c r="E12" s="12" t="str">
        <x:v>rider</x:v>
      </x:c>
      <x:c r="F12" s="12" t="str">
        <x:v>Hyderabad</x:v>
      </x:c>
      <x:c r="G12" s="12" t="str">
        <x:v>Hyderabad</x:v>
      </x:c>
      <x:c r="H12" s="12" t="str">
        <x:v>no</x:v>
      </x:c>
      <x:c r="I12" s="12" t="str">
        <x:v>no</x:v>
      </x:c>
      <x:c r="J12" s="12" t="n">
        <x:v>0</x:v>
      </x:c>
      <x:c r="K12" s="13" t="str"/>
      <x:c r="L12" s="13" t="str"/>
      <x:c r="M12" s="13" t="str"/>
      <x:c r="N12" s="13" t="str"/>
      <x:c r="O12" s="13" t="str"/>
      <x:c r="P12" s="13" t="str"/>
      <x:c r="Q12" s="13" t="str"/>
      <x:c r="R12" s="13" t="str"/>
      <x:c r="S12" s="13" t="str"/>
      <x:c r="T12" s="13" t="str"/>
      <x:c r="U12" s="13" t="str"/>
      <x:c r="V12" s="13" t="str">
        <x:v>After calling n asking by the driver the destination... they cancelled the ride... Faced the problem many times especially late hours and peak hours</x:v>
      </x:c>
      <x:c r="W12" s="12" t="str">
        <x:v>Context only</x:v>
      </x:c>
      <x:c r="X12" s="12" t="n">
        <x:v>0</x:v>
      </x:c>
      <x:c r="Y12" s="12" t="n">
        <x:v>1</x:v>
      </x:c>
      <x:c r="Z12" s="12" t="n">
        <x:v>0</x:v>
      </x:c>
      <x:c r="AA12" s="12" t="n">
        <x:v>0</x:v>
      </x:c>
      <x:c r="AB12" s="12" t="n">
        <x:v>0</x:v>
      </x:c>
      <x:c r="AC12" s="12" t="n">
        <x:v>0</x:v>
      </x:c>
    </x:row>
    <x:row r="13">
      <x:c r="A13" s="10" t="str">
        <x:v>R015</x:v>
      </x:c>
      <x:c r="B13" s="11" t="n">
        <x:v>46282.175512581016</x:v>
      </x:c>
      <x:c r="C13" s="12" t="str">
        <x:v>Legacy</x:v>
      </x:c>
      <x:c r="D13" s="12" t="str">
        <x:v>en</x:v>
      </x:c>
      <x:c r="E13" s="12" t="str">
        <x:v>rider</x:v>
      </x:c>
      <x:c r="F13" s="12" t="str">
        <x:v>Hyderabad</x:v>
      </x:c>
      <x:c r="G13" s="12" t="str">
        <x:v>Hyderabad</x:v>
      </x:c>
      <x:c r="H13" s="12" t="str">
        <x:v>no</x:v>
      </x:c>
      <x:c r="I13" s="12" t="str">
        <x:v>yes</x:v>
      </x:c>
      <x:c r="J13" s="12" t="n">
        <x:v>1</x:v>
      </x:c>
      <x:c r="K13" s="13" t="str"/>
      <x:c r="L13" s="13" t="str"/>
      <x:c r="M13" s="13" t="str"/>
      <x:c r="N13" s="13" t="str"/>
      <x:c r="O13" s="13" t="str"/>
      <x:c r="P13" s="13" t="str">
        <x:v>station</x:v>
      </x:c>
      <x:c r="Q13" s="13" t="str">
        <x:v>waited</x:v>
      </x:c>
      <x:c r="R13" s="13" t="str"/>
      <x:c r="S13" s="13" t="str"/>
      <x:c r="T13" s="13" t="str">
        <x:v>called_messaged, landmark</x:v>
      </x:c>
      <x:c r="U13" s="13" t="str">
        <x:v>yes</x:v>
      </x:c>
      <x:c r="V13" s="13" t="str">
        <x:v>No</x:v>
      </x:c>
      <x:c r="W13" s="12" t="str">
        <x:v>Structured only</x:v>
      </x:c>
      <x:c r="X13" s="12" t="n">
        <x:v>0</x:v>
      </x:c>
      <x:c r="Y13" s="12" t="n">
        <x:v>1</x:v>
      </x:c>
      <x:c r="Z13" s="12" t="n">
        <x:v>0</x:v>
      </x:c>
      <x:c r="AA13" s="12" t="n">
        <x:v>0</x:v>
      </x:c>
      <x:c r="AB13" s="12" t="n">
        <x:v>0</x:v>
      </x:c>
      <x:c r="AC13" s="12" t="n">
        <x:v>0</x:v>
      </x:c>
    </x:row>
    <x:row r="14">
      <x:c r="A14" s="10" t="str">
        <x:v>R016</x:v>
      </x:c>
      <x:c r="B14" s="11" t="n">
        <x:v>46282.17777689815</x:v>
      </x:c>
      <x:c r="C14" s="12" t="str">
        <x:v>Legacy</x:v>
      </x:c>
      <x:c r="D14" s="12" t="str">
        <x:v>te</x:v>
      </x:c>
      <x:c r="E14" s="12" t="str">
        <x:v>rider</x:v>
      </x:c>
      <x:c r="F14" s="12" t="str">
        <x:v>Other</x:v>
      </x:c>
      <x:c r="G14" s="12" t="str">
        <x:v>VIZAG</x:v>
      </x:c>
      <x:c r="H14" s="12" t="str">
        <x:v>yes</x:v>
      </x:c>
      <x:c r="I14" s="12" t="str">
        <x:v>no</x:v>
      </x:c>
      <x:c r="J14" s="12" t="n">
        <x:v>0</x:v>
      </x:c>
      <x:c r="K14" s="13" t="str"/>
      <x:c r="L14" s="13" t="str"/>
      <x:c r="M14" s="13" t="str"/>
      <x:c r="N14" s="13" t="str"/>
      <x:c r="O14" s="13" t="str"/>
      <x:c r="P14" s="13" t="str"/>
      <x:c r="Q14" s="13" t="str"/>
      <x:c r="R14" s="13" t="str"/>
      <x:c r="S14" s="13" t="str"/>
      <x:c r="T14" s="13" t="str"/>
      <x:c r="U14" s="13" t="str"/>
      <x:c r="V14" s="13" t="str">
        <x:v>NOTHING</x:v>
      </x:c>
      <x:c r="W14" s="12" t="str">
        <x:v>No issue detail</x:v>
      </x:c>
      <x:c r="X14" s="12" t="n">
        <x:v>1</x:v>
      </x:c>
      <x:c r="Y14" s="12" t="n">
        <x:v>0</x:v>
      </x:c>
      <x:c r="Z14" s="12" t="n">
        <x:v>0</x:v>
      </x:c>
      <x:c r="AA14" s="12" t="n">
        <x:v>0</x:v>
      </x:c>
      <x:c r="AB14" s="12" t="n">
        <x:v>0</x:v>
      </x:c>
      <x:c r="AC14" s="12" t="n">
        <x:v>0</x:v>
      </x:c>
    </x:row>
    <x:row r="15">
      <x:c r="A15" s="10" t="str">
        <x:v>R017</x:v>
      </x:c>
      <x:c r="B15" s="11" t="n">
        <x:v>46282.1795927662</x:v>
      </x:c>
      <x:c r="C15" s="12" t="str">
        <x:v>Legacy</x:v>
      </x:c>
      <x:c r="D15" s="12" t="str">
        <x:v>en</x:v>
      </x:c>
      <x:c r="E15" s="12" t="str">
        <x:v>rider</x:v>
      </x:c>
      <x:c r="F15" s="12" t="str">
        <x:v>Other</x:v>
      </x:c>
      <x:c r="G15" s="12" t="str">
        <x:v>Vizag</x:v>
      </x:c>
      <x:c r="H15" s="12" t="str">
        <x:v>yes</x:v>
      </x:c>
      <x:c r="I15" s="12" t="str">
        <x:v>yes</x:v>
      </x:c>
      <x:c r="J15" s="12" t="n">
        <x:v>1</x:v>
      </x:c>
      <x:c r="K15" s="13" t="str"/>
      <x:c r="L15" s="13" t="str"/>
      <x:c r="M15" s="13" t="str"/>
      <x:c r="N15" s="13" t="str"/>
      <x:c r="O15" s="13" t="str"/>
      <x:c r="P15" s="13" t="str">
        <x:v>airport</x:v>
      </x:c>
      <x:c r="Q15" s="13" t="str">
        <x:v>called, moved</x:v>
      </x:c>
      <x:c r="R15" s="13" t="str"/>
      <x:c r="S15" s="13" t="str"/>
      <x:c r="T15" s="13" t="str">
        <x:v>called_messaged</x:v>
      </x:c>
      <x:c r="U15" s="13" t="str">
        <x:v>yes</x:v>
      </x:c>
      <x:c r="V15" s="13" t="str"/>
      <x:c r="W15" s="12" t="str">
        <x:v>Structured only</x:v>
      </x:c>
      <x:c r="X15" s="12" t="n">
        <x:v>1</x:v>
      </x:c>
      <x:c r="Y15" s="12" t="n">
        <x:v>0</x:v>
      </x:c>
      <x:c r="Z15" s="12" t="n">
        <x:v>0</x:v>
      </x:c>
      <x:c r="AA15" s="12" t="n">
        <x:v>0</x:v>
      </x:c>
      <x:c r="AB15" s="12" t="n">
        <x:v>0</x:v>
      </x:c>
      <x:c r="AC15" s="12" t="n">
        <x:v>0</x:v>
      </x:c>
    </x:row>
    <x:row r="16">
      <x:c r="A16" s="10" t="str">
        <x:v>R018</x:v>
      </x:c>
      <x:c r="B16" s="11" t="n">
        <x:v>46282.18016902778</x:v>
      </x:c>
      <x:c r="C16" s="12" t="str">
        <x:v>Legacy</x:v>
      </x:c>
      <x:c r="D16" s="12" t="str">
        <x:v>en</x:v>
      </x:c>
      <x:c r="E16" s="12" t="str">
        <x:v>rider</x:v>
      </x:c>
      <x:c r="F16" s="12" t="str">
        <x:v>Other</x:v>
      </x:c>
      <x:c r="G16" s="12" t="str">
        <x:v>VISAKHAPATNAM</x:v>
      </x:c>
      <x:c r="H16" s="12" t="str">
        <x:v>no</x:v>
      </x:c>
      <x:c r="I16" s="12" t="str">
        <x:v>yes</x:v>
      </x:c>
      <x:c r="J16" s="12" t="n">
        <x:v>1</x:v>
      </x:c>
      <x:c r="K16" s="13" t="str"/>
      <x:c r="L16" s="13" t="str"/>
      <x:c r="M16" s="13" t="str"/>
      <x:c r="N16" s="13" t="str"/>
      <x:c r="O16" s="13" t="str"/>
      <x:c r="P16" s="13" t="str">
        <x:v>residential</x:v>
      </x:c>
      <x:c r="Q16" s="13" t="str">
        <x:v>cancelled</x:v>
      </x:c>
      <x:c r="R16" s="13" t="str"/>
      <x:c r="S16" s="13" t="str"/>
      <x:c r="T16" s="13" t="str">
        <x:v>driver_moved</x:v>
      </x:c>
      <x:c r="U16" s="13" t="str">
        <x:v>yes</x:v>
      </x:c>
      <x:c r="V16" s="13" t="str">
        <x:v>The number of the vehicle mentioned in the app is different from the vehicle carrying us.</x:v>
      </x:c>
      <x:c r="W16" s="12" t="str">
        <x:v>Structured only</x:v>
      </x:c>
      <x:c r="X16" s="12" t="n">
        <x:v>0</x:v>
      </x:c>
      <x:c r="Y16" s="12" t="n">
        <x:v>0</x:v>
      </x:c>
      <x:c r="Z16" s="12" t="n">
        <x:v>0</x:v>
      </x:c>
      <x:c r="AA16" s="12" t="n">
        <x:v>0</x:v>
      </x:c>
      <x:c r="AB16" s="12" t="n">
        <x:v>0</x:v>
      </x:c>
      <x:c r="AC16" s="12" t="n">
        <x:v>0</x:v>
      </x:c>
    </x:row>
    <x:row r="17">
      <x:c r="A17" s="10" t="str">
        <x:v>R019</x:v>
      </x:c>
      <x:c r="B17" s="11" t="n">
        <x:v>46282.181402939816</x:v>
      </x:c>
      <x:c r="C17" s="12" t="str">
        <x:v>Legacy</x:v>
      </x:c>
      <x:c r="D17" s="12" t="str">
        <x:v>en</x:v>
      </x:c>
      <x:c r="E17" s="12" t="str">
        <x:v>rider</x:v>
      </x:c>
      <x:c r="F17" s="12" t="str">
        <x:v>Hyderabad</x:v>
      </x:c>
      <x:c r="G17" s="12" t="str">
        <x:v>Hyderabad</x:v>
      </x:c>
      <x:c r="H17" s="12" t="str">
        <x:v>yes</x:v>
      </x:c>
      <x:c r="I17" s="12" t="str">
        <x:v>yes</x:v>
      </x:c>
      <x:c r="J17" s="12" t="n">
        <x:v>1</x:v>
      </x:c>
      <x:c r="K17" s="13" t="str"/>
      <x:c r="L17" s="13" t="str"/>
      <x:c r="M17" s="13" t="str"/>
      <x:c r="N17" s="13" t="str"/>
      <x:c r="O17" s="13" t="str"/>
      <x:c r="P17" s="13" t="str">
        <x:v>mall</x:v>
      </x:c>
      <x:c r="Q17" s="13" t="str">
        <x:v>moved</x:v>
      </x:c>
      <x:c r="R17" s="13" t="str"/>
      <x:c r="S17" s="13" t="str"/>
      <x:c r="T17" s="13" t="str">
        <x:v>called_messaged</x:v>
      </x:c>
      <x:c r="U17" s="13" t="str">
        <x:v>yes</x:v>
      </x:c>
      <x:c r="V17" s="13" t="str"/>
      <x:c r="W17" s="12" t="str">
        <x:v>Structured only</x:v>
      </x:c>
      <x:c r="X17" s="12" t="n">
        <x:v>1</x:v>
      </x:c>
      <x:c r="Y17" s="12" t="n">
        <x:v>1</x:v>
      </x:c>
      <x:c r="Z17" s="12" t="n">
        <x:v>0</x:v>
      </x:c>
      <x:c r="AA17" s="12" t="n">
        <x:v>0</x:v>
      </x:c>
      <x:c r="AB17" s="12" t="n">
        <x:v>0</x:v>
      </x:c>
      <x:c r="AC17" s="12" t="n">
        <x:v>0</x:v>
      </x:c>
    </x:row>
    <x:row r="18">
      <x:c r="A18" s="10" t="str">
        <x:v>R020</x:v>
      </x:c>
      <x:c r="B18" s="11" t="n">
        <x:v>46282.18465668982</x:v>
      </x:c>
      <x:c r="C18" s="12" t="str">
        <x:v>Legacy</x:v>
      </x:c>
      <x:c r="D18" s="12" t="str">
        <x:v>en</x:v>
      </x:c>
      <x:c r="E18" s="12" t="str">
        <x:v>rider</x:v>
      </x:c>
      <x:c r="F18" s="12" t="str">
        <x:v>Hyderabad</x:v>
      </x:c>
      <x:c r="G18" s="12" t="str">
        <x:v>Hyderabad</x:v>
      </x:c>
      <x:c r="H18" s="12" t="str">
        <x:v>yes</x:v>
      </x:c>
      <x:c r="I18" s="12" t="str">
        <x:v>yes</x:v>
      </x:c>
      <x:c r="J18" s="12" t="n">
        <x:v>1</x:v>
      </x:c>
      <x:c r="K18" s="13" t="str"/>
      <x:c r="L18" s="13" t="str"/>
      <x:c r="M18" s="13" t="str"/>
      <x:c r="N18" s="13" t="str"/>
      <x:c r="O18" s="13" t="str"/>
      <x:c r="P18" s="13" t="str">
        <x:v>office</x:v>
      </x:c>
      <x:c r="Q18" s="13" t="str">
        <x:v>called</x:v>
      </x:c>
      <x:c r="R18" s="13" t="str"/>
      <x:c r="S18" s="13" t="str"/>
      <x:c r="T18" s="13" t="str">
        <x:v>called_messaged</x:v>
      </x:c>
      <x:c r="U18" s="13" t="str">
        <x:v>yes</x:v>
      </x:c>
      <x:c r="V18" s="13" t="str"/>
      <x:c r="W18" s="12" t="str">
        <x:v>Structured only</x:v>
      </x:c>
      <x:c r="X18" s="12" t="n">
        <x:v>1</x:v>
      </x:c>
      <x:c r="Y18" s="12" t="n">
        <x:v>1</x:v>
      </x:c>
      <x:c r="Z18" s="12" t="n">
        <x:v>0</x:v>
      </x:c>
      <x:c r="AA18" s="12" t="n">
        <x:v>0</x:v>
      </x:c>
      <x:c r="AB18" s="12" t="n">
        <x:v>0</x:v>
      </x:c>
      <x:c r="AC18" s="12" t="n">
        <x:v>0</x:v>
      </x:c>
    </x:row>
    <x:row r="19">
      <x:c r="A19" s="10" t="str">
        <x:v>R021</x:v>
      </x:c>
      <x:c r="B19" s="11" t="n">
        <x:v>46282.18530243055</x:v>
      </x:c>
      <x:c r="C19" s="12" t="str">
        <x:v>Legacy</x:v>
      </x:c>
      <x:c r="D19" s="12" t="str">
        <x:v>en</x:v>
      </x:c>
      <x:c r="E19" s="12" t="str">
        <x:v>rider</x:v>
      </x:c>
      <x:c r="F19" s="12" t="str">
        <x:v>Other</x:v>
      </x:c>
      <x:c r="G19" s="12" t="str">
        <x:v>Kolkata</x:v>
      </x:c>
      <x:c r="H19" s="12" t="str">
        <x:v>yes</x:v>
      </x:c>
      <x:c r="I19" s="12" t="str">
        <x:v>yes</x:v>
      </x:c>
      <x:c r="J19" s="12" t="n">
        <x:v>1</x:v>
      </x:c>
      <x:c r="K19" s="13" t="str"/>
      <x:c r="L19" s="13" t="str"/>
      <x:c r="M19" s="13" t="str"/>
      <x:c r="N19" s="13" t="str"/>
      <x:c r="O19" s="13" t="str"/>
      <x:c r="P19" s="13" t="str">
        <x:v>office</x:v>
      </x:c>
      <x:c r="Q19" s="13" t="str">
        <x:v>called, messaged, moved, waited</x:v>
      </x:c>
      <x:c r="R19" s="13" t="str"/>
      <x:c r="S19" s="13" t="str"/>
      <x:c r="T19" s="13" t="str">
        <x:v>called_messaged, driver_moved, staff, nothing</x:v>
      </x:c>
      <x:c r="U19" s="13" t="str">
        <x:v>yes</x:v>
      </x:c>
      <x:c r="V19" s="13" t="str"/>
      <x:c r="W19" s="12" t="str">
        <x:v>Structured only</x:v>
      </x:c>
      <x:c r="X19" s="12" t="n">
        <x:v>1</x:v>
      </x:c>
      <x:c r="Y19" s="12" t="n">
        <x:v>0</x:v>
      </x:c>
      <x:c r="Z19" s="12" t="n">
        <x:v>0</x:v>
      </x:c>
      <x:c r="AA19" s="12" t="n">
        <x:v>0</x:v>
      </x:c>
      <x:c r="AB19" s="12" t="n">
        <x:v>0</x:v>
      </x:c>
      <x:c r="AC19" s="12" t="n">
        <x:v>0</x:v>
      </x:c>
    </x:row>
    <x:row r="20">
      <x:c r="A20" s="10" t="str">
        <x:v>R022</x:v>
      </x:c>
      <x:c r="B20" s="11" t="n">
        <x:v>46282.188201226854</x:v>
      </x:c>
      <x:c r="C20" s="12" t="str">
        <x:v>Legacy</x:v>
      </x:c>
      <x:c r="D20" s="12" t="str">
        <x:v>en</x:v>
      </x:c>
      <x:c r="E20" s="12" t="str">
        <x:v>rider</x:v>
      </x:c>
      <x:c r="F20" s="12" t="str">
        <x:v>Hyderabad</x:v>
      </x:c>
      <x:c r="G20" s="12" t="str">
        <x:v>Hyderabad</x:v>
      </x:c>
      <x:c r="H20" s="12" t="str">
        <x:v>yes</x:v>
      </x:c>
      <x:c r="I20" s="12" t="str">
        <x:v>no</x:v>
      </x:c>
      <x:c r="J20" s="12" t="n">
        <x:v>0</x:v>
      </x:c>
      <x:c r="K20" s="13" t="str"/>
      <x:c r="L20" s="13" t="str"/>
      <x:c r="M20" s="13" t="str"/>
      <x:c r="N20" s="13" t="str"/>
      <x:c r="O20" s="13" t="str"/>
      <x:c r="P20" s="13" t="str"/>
      <x:c r="Q20" s="13" t="str"/>
      <x:c r="R20" s="13" t="str"/>
      <x:c r="S20" s="13" t="str"/>
      <x:c r="T20" s="13" t="str"/>
      <x:c r="U20" s="13" t="str"/>
      <x:c r="V20" s="13" t="str">
        <x:v>Nothing</x:v>
      </x:c>
      <x:c r="W20" s="12" t="str">
        <x:v>No issue detail</x:v>
      </x:c>
      <x:c r="X20" s="12" t="n">
        <x:v>1</x:v>
      </x:c>
      <x:c r="Y20" s="12" t="n">
        <x:v>1</x:v>
      </x:c>
      <x:c r="Z20" s="12" t="n">
        <x:v>0</x:v>
      </x:c>
      <x:c r="AA20" s="12" t="n">
        <x:v>0</x:v>
      </x:c>
      <x:c r="AB20" s="12" t="n">
        <x:v>0</x:v>
      </x:c>
      <x:c r="AC20" s="12" t="n">
        <x:v>0</x:v>
      </x:c>
    </x:row>
    <x:row r="21">
      <x:c r="A21" s="10" t="str">
        <x:v>R023</x:v>
      </x:c>
      <x:c r="B21" s="11" t="n">
        <x:v>46282.188535</x:v>
      </x:c>
      <x:c r="C21" s="12" t="str">
        <x:v>Legacy</x:v>
      </x:c>
      <x:c r="D21" s="12" t="str">
        <x:v>en</x:v>
      </x:c>
      <x:c r="E21" s="12" t="str">
        <x:v>rider</x:v>
      </x:c>
      <x:c r="F21" s="12" t="str">
        <x:v>Hyderabad</x:v>
      </x:c>
      <x:c r="G21" s="12" t="str">
        <x:v>Hyderabad</x:v>
      </x:c>
      <x:c r="H21" s="12" t="str">
        <x:v>yes</x:v>
      </x:c>
      <x:c r="I21" s="12" t="str">
        <x:v>yes</x:v>
      </x:c>
      <x:c r="J21" s="12" t="n">
        <x:v>1</x:v>
      </x:c>
      <x:c r="K21" s="13" t="str"/>
      <x:c r="L21" s="13" t="str"/>
      <x:c r="M21" s="13" t="str"/>
      <x:c r="N21" s="13" t="str"/>
      <x:c r="O21" s="13" t="str"/>
      <x:c r="P21" s="13" t="str">
        <x:v>airport, office</x:v>
      </x:c>
      <x:c r="Q21" s="13" t="str">
        <x:v>called</x:v>
      </x:c>
      <x:c r="R21" s="13" t="str"/>
      <x:c r="S21" s="13" t="str"/>
      <x:c r="T21" s="13" t="str">
        <x:v>called_messaged</x:v>
      </x:c>
      <x:c r="U21" s="13" t="str">
        <x:v>yes</x:v>
      </x:c>
      <x:c r="V21" s="13" t="str"/>
      <x:c r="W21" s="12" t="str">
        <x:v>Structured only</x:v>
      </x:c>
      <x:c r="X21" s="12" t="n">
        <x:v>1</x:v>
      </x:c>
      <x:c r="Y21" s="12" t="n">
        <x:v>1</x:v>
      </x:c>
      <x:c r="Z21" s="12" t="n">
        <x:v>0</x:v>
      </x:c>
      <x:c r="AA21" s="12" t="n">
        <x:v>0</x:v>
      </x:c>
      <x:c r="AB21" s="12" t="n">
        <x:v>0</x:v>
      </x:c>
      <x:c r="AC21" s="12" t="n">
        <x:v>0</x:v>
      </x:c>
    </x:row>
    <x:row r="22">
      <x:c r="A22" s="10" t="str">
        <x:v>R024</x:v>
      </x:c>
      <x:c r="B22" s="11" t="n">
        <x:v>46282.18948706018</x:v>
      </x:c>
      <x:c r="C22" s="12" t="str">
        <x:v>Legacy</x:v>
      </x:c>
      <x:c r="D22" s="12" t="str">
        <x:v>en</x:v>
      </x:c>
      <x:c r="E22" s="12" t="str">
        <x:v>rider</x:v>
      </x:c>
      <x:c r="F22" s="12" t="str">
        <x:v>Hyderabad</x:v>
      </x:c>
      <x:c r="G22" s="12" t="str">
        <x:v>Hyderabad</x:v>
      </x:c>
      <x:c r="H22" s="12" t="str">
        <x:v>yes</x:v>
      </x:c>
      <x:c r="I22" s="12" t="str">
        <x:v>no</x:v>
      </x:c>
      <x:c r="J22" s="12" t="n">
        <x:v>0</x:v>
      </x:c>
      <x:c r="K22" s="13" t="str"/>
      <x:c r="L22" s="13" t="str"/>
      <x:c r="M22" s="13" t="str"/>
      <x:c r="N22" s="13" t="str"/>
      <x:c r="O22" s="13" t="str"/>
      <x:c r="P22" s="13" t="str"/>
      <x:c r="Q22" s="13" t="str"/>
      <x:c r="R22" s="13" t="str"/>
      <x:c r="S22" s="13" t="str"/>
      <x:c r="T22" s="13" t="str"/>
      <x:c r="U22" s="13" t="str"/>
      <x:c r="V22" s="13" t="str"/>
      <x:c r="W22" s="12" t="str">
        <x:v>No issue detail</x:v>
      </x:c>
      <x:c r="X22" s="12" t="n">
        <x:v>1</x:v>
      </x:c>
      <x:c r="Y22" s="12" t="n">
        <x:v>1</x:v>
      </x:c>
      <x:c r="Z22" s="12" t="n">
        <x:v>0</x:v>
      </x:c>
      <x:c r="AA22" s="12" t="n">
        <x:v>0</x:v>
      </x:c>
      <x:c r="AB22" s="12" t="n">
        <x:v>0</x:v>
      </x:c>
      <x:c r="AC22" s="12" t="n">
        <x:v>0</x:v>
      </x:c>
    </x:row>
    <x:row r="23">
      <x:c r="A23" s="10" t="str">
        <x:v>R025</x:v>
      </x:c>
      <x:c r="B23" s="11" t="n">
        <x:v>46282.1932196412</x:v>
      </x:c>
      <x:c r="C23" s="12" t="str">
        <x:v>Legacy</x:v>
      </x:c>
      <x:c r="D23" s="12" t="str">
        <x:v>en</x:v>
      </x:c>
      <x:c r="E23" s="12" t="str">
        <x:v>rider</x:v>
      </x:c>
      <x:c r="F23" s="12" t="str">
        <x:v>Other</x:v>
      </x:c>
      <x:c r="G23" s="12" t="str">
        <x:v>Visakhapatnam</x:v>
      </x:c>
      <x:c r="H23" s="12" t="str">
        <x:v>yes</x:v>
      </x:c>
      <x:c r="I23" s="12" t="str">
        <x:v>no</x:v>
      </x:c>
      <x:c r="J23" s="12" t="n">
        <x:v>0</x:v>
      </x:c>
      <x:c r="K23" s="13" t="str"/>
      <x:c r="L23" s="13" t="str"/>
      <x:c r="M23" s="13" t="str"/>
      <x:c r="N23" s="13" t="str"/>
      <x:c r="O23" s="13" t="str"/>
      <x:c r="P23" s="13" t="str"/>
      <x:c r="Q23" s="13" t="str"/>
      <x:c r="R23" s="13" t="str"/>
      <x:c r="S23" s="13" t="str"/>
      <x:c r="T23" s="13" t="str"/>
      <x:c r="U23" s="13" t="str"/>
      <x:c r="V23" s="13" t="str"/>
      <x:c r="W23" s="12" t="str">
        <x:v>No issue detail</x:v>
      </x:c>
      <x:c r="X23" s="12" t="n">
        <x:v>1</x:v>
      </x:c>
      <x:c r="Y23" s="12" t="n">
        <x:v>0</x:v>
      </x:c>
      <x:c r="Z23" s="12" t="n">
        <x:v>0</x:v>
      </x:c>
      <x:c r="AA23" s="12" t="n">
        <x:v>0</x:v>
      </x:c>
      <x:c r="AB23" s="12" t="n">
        <x:v>0</x:v>
      </x:c>
      <x:c r="AC23" s="12" t="n">
        <x:v>0</x:v>
      </x:c>
    </x:row>
    <x:row r="24">
      <x:c r="A24" s="10" t="str">
        <x:v>R026</x:v>
      </x:c>
      <x:c r="B24" s="11" t="n">
        <x:v>46282.19609798611</x:v>
      </x:c>
      <x:c r="C24" s="12" t="str">
        <x:v>Legacy</x:v>
      </x:c>
      <x:c r="D24" s="12" t="str">
        <x:v>en</x:v>
      </x:c>
      <x:c r="E24" s="12" t="str">
        <x:v>rider</x:v>
      </x:c>
      <x:c r="F24" s="12" t="str">
        <x:v>Hyderabad</x:v>
      </x:c>
      <x:c r="G24" s="12" t="str">
        <x:v>Hyderabad</x:v>
      </x:c>
      <x:c r="H24" s="12" t="str">
        <x:v>yes</x:v>
      </x:c>
      <x:c r="I24" s="12" t="str">
        <x:v>no</x:v>
      </x:c>
      <x:c r="J24" s="12" t="n">
        <x:v>0</x:v>
      </x:c>
      <x:c r="K24" s="13" t="str"/>
      <x:c r="L24" s="13" t="str"/>
      <x:c r="M24" s="13" t="str"/>
      <x:c r="N24" s="13" t="str"/>
      <x:c r="O24" s="13" t="str"/>
      <x:c r="P24" s="13" t="str"/>
      <x:c r="Q24" s="13" t="str"/>
      <x:c r="R24" s="13" t="str"/>
      <x:c r="S24" s="13" t="str"/>
      <x:c r="T24" s="13" t="str"/>
      <x:c r="U24" s="13" t="str"/>
      <x:c r="V24" s="13" t="str">
        <x:v>No</x:v>
      </x:c>
      <x:c r="W24" s="12" t="str">
        <x:v>No issue detail</x:v>
      </x:c>
      <x:c r="X24" s="12" t="n">
        <x:v>1</x:v>
      </x:c>
      <x:c r="Y24" s="12" t="n">
        <x:v>1</x:v>
      </x:c>
      <x:c r="Z24" s="12" t="n">
        <x:v>0</x:v>
      </x:c>
      <x:c r="AA24" s="12" t="n">
        <x:v>0</x:v>
      </x:c>
      <x:c r="AB24" s="12" t="n">
        <x:v>0</x:v>
      </x:c>
      <x:c r="AC24" s="12" t="n">
        <x:v>0</x:v>
      </x:c>
    </x:row>
    <x:row r="25">
      <x:c r="A25" s="10" t="str">
        <x:v>R027</x:v>
      </x:c>
      <x:c r="B25" s="11" t="n">
        <x:v>46282.19734207176</x:v>
      </x:c>
      <x:c r="C25" s="12" t="str">
        <x:v>Legacy</x:v>
      </x:c>
      <x:c r="D25" s="12" t="str">
        <x:v>en</x:v>
      </x:c>
      <x:c r="E25" s="12" t="str">
        <x:v>rider</x:v>
      </x:c>
      <x:c r="F25" s="12" t="str">
        <x:v>Other</x:v>
      </x:c>
      <x:c r="G25" s="12" t="str">
        <x:v>Kolkata</x:v>
      </x:c>
      <x:c r="H25" s="12" t="str">
        <x:v>yes</x:v>
      </x:c>
      <x:c r="I25" s="12" t="str">
        <x:v>yes</x:v>
      </x:c>
      <x:c r="J25" s="12" t="n">
        <x:v>1</x:v>
      </x:c>
      <x:c r="K25" s="13" t="str"/>
      <x:c r="L25" s="13" t="str"/>
      <x:c r="M25" s="13" t="str"/>
      <x:c r="N25" s="13" t="str"/>
      <x:c r="O25" s="13" t="str"/>
      <x:c r="P25" s="13" t="str">
        <x:v>station</x:v>
      </x:c>
      <x:c r="Q25" s="13" t="str">
        <x:v>cancelled</x:v>
      </x:c>
      <x:c r="R25" s="13" t="str"/>
      <x:c r="S25" s="13" t="str"/>
      <x:c r="T25" s="13" t="str">
        <x:v>called_messaged</x:v>
      </x:c>
      <x:c r="U25" s="13" t="str">
        <x:v>yes</x:v>
      </x:c>
      <x:c r="V25" s="13" t="str">
        <x:v>I found Uber to be a better option than Ola</x:v>
      </x:c>
      <x:c r="W25" s="12" t="str">
        <x:v>Structured only</x:v>
      </x:c>
      <x:c r="X25" s="12" t="n">
        <x:v>1</x:v>
      </x:c>
      <x:c r="Y25" s="12" t="n">
        <x:v>0</x:v>
      </x:c>
      <x:c r="Z25" s="12" t="n">
        <x:v>0</x:v>
      </x:c>
      <x:c r="AA25" s="12" t="n">
        <x:v>0</x:v>
      </x:c>
      <x:c r="AB25" s="12" t="n">
        <x:v>0</x:v>
      </x:c>
      <x:c r="AC25" s="12" t="n">
        <x:v>0</x:v>
      </x:c>
    </x:row>
    <x:row r="26">
      <x:c r="A26" s="10" t="str">
        <x:v>R028</x:v>
      </x:c>
      <x:c r="B26" s="11" t="n">
        <x:v>46282.197824097224</x:v>
      </x:c>
      <x:c r="C26" s="12" t="str">
        <x:v>Legacy</x:v>
      </x:c>
      <x:c r="D26" s="12" t="str">
        <x:v>en</x:v>
      </x:c>
      <x:c r="E26" s="12" t="str">
        <x:v>rider</x:v>
      </x:c>
      <x:c r="F26" s="12" t="str">
        <x:v>Other</x:v>
      </x:c>
      <x:c r="G26" s="12" t="str">
        <x:v>Visakhapatnam</x:v>
      </x:c>
      <x:c r="H26" s="12" t="str">
        <x:v>yes</x:v>
      </x:c>
      <x:c r="I26" s="12" t="str">
        <x:v>no</x:v>
      </x:c>
      <x:c r="J26" s="12" t="n">
        <x:v>0</x:v>
      </x:c>
      <x:c r="K26" s="13" t="str"/>
      <x:c r="L26" s="13" t="str"/>
      <x:c r="M26" s="13" t="str"/>
      <x:c r="N26" s="13" t="str"/>
      <x:c r="O26" s="13" t="str"/>
      <x:c r="P26" s="13" t="str"/>
      <x:c r="Q26" s="13" t="str"/>
      <x:c r="R26" s="13" t="str"/>
      <x:c r="S26" s="13" t="str"/>
      <x:c r="T26" s="13" t="str"/>
      <x:c r="U26" s="13" t="str"/>
      <x:c r="V26" s="13" t="str">
        <x:v>Most of the cars are not hygiene.  Riders who wish a hygiene vehicle are even forced to book Premium car which charges higher rate. Uber is not controlling this mafia. Its the prerequisite for the operator to maintain car in good condition all times</x:v>
      </x:c>
      <x:c r="W26" s="12" t="str">
        <x:v>Context only</x:v>
      </x:c>
      <x:c r="X26" s="12" t="n">
        <x:v>1</x:v>
      </x:c>
      <x:c r="Y26" s="12" t="n">
        <x:v>0</x:v>
      </x:c>
      <x:c r="Z26" s="12" t="n">
        <x:v>0</x:v>
      </x:c>
      <x:c r="AA26" s="12" t="n">
        <x:v>0</x:v>
      </x:c>
      <x:c r="AB26" s="12" t="n">
        <x:v>0</x:v>
      </x:c>
      <x:c r="AC26" s="12" t="n">
        <x:v>0</x:v>
      </x:c>
    </x:row>
    <x:row r="27">
      <x:c r="A27" s="10" t="str">
        <x:v>R029</x:v>
      </x:c>
      <x:c r="B27" s="11" t="n">
        <x:v>46282.198988703705</x:v>
      </x:c>
      <x:c r="C27" s="12" t="str">
        <x:v>Legacy</x:v>
      </x:c>
      <x:c r="D27" s="12" t="str">
        <x:v>en</x:v>
      </x:c>
      <x:c r="E27" s="12" t="str">
        <x:v>rider</x:v>
      </x:c>
      <x:c r="F27" s="12" t="str">
        <x:v>Hyderabad</x:v>
      </x:c>
      <x:c r="G27" s="12" t="str">
        <x:v>Hyderabad</x:v>
      </x:c>
      <x:c r="H27" s="12" t="str">
        <x:v>yes</x:v>
      </x:c>
      <x:c r="I27" s="12" t="str">
        <x:v>yes</x:v>
      </x:c>
      <x:c r="J27" s="12" t="n">
        <x:v>1</x:v>
      </x:c>
      <x:c r="K27" s="13" t="str"/>
      <x:c r="L27" s="13" t="str"/>
      <x:c r="M27" s="13" t="str"/>
      <x:c r="N27" s="13" t="str"/>
      <x:c r="O27" s="13" t="str"/>
      <x:c r="P27" s="13" t="str">
        <x:v>airport</x:v>
      </x:c>
      <x:c r="Q27" s="13" t="str">
        <x:v>called</x:v>
      </x:c>
      <x:c r="R27" s="13" t="str"/>
      <x:c r="S27" s="13" t="str"/>
      <x:c r="T27" s="13" t="str">
        <x:v>called_messaged</x:v>
      </x:c>
      <x:c r="U27" s="13" t="str">
        <x:v>yes</x:v>
      </x:c>
      <x:c r="V27" s="13" t="str"/>
      <x:c r="W27" s="12" t="str">
        <x:v>Structured only</x:v>
      </x:c>
      <x:c r="X27" s="12" t="n">
        <x:v>1</x:v>
      </x:c>
      <x:c r="Y27" s="12" t="n">
        <x:v>1</x:v>
      </x:c>
      <x:c r="Z27" s="12" t="n">
        <x:v>0</x:v>
      </x:c>
      <x:c r="AA27" s="12" t="n">
        <x:v>0</x:v>
      </x:c>
      <x:c r="AB27" s="12" t="n">
        <x:v>0</x:v>
      </x:c>
      <x:c r="AC27" s="12" t="n">
        <x:v>0</x:v>
      </x:c>
    </x:row>
    <x:row r="28">
      <x:c r="A28" s="10" t="str">
        <x:v>R030</x:v>
      </x:c>
      <x:c r="B28" s="11" t="n">
        <x:v>46282.200011493056</x:v>
      </x:c>
      <x:c r="C28" s="12" t="str">
        <x:v>Legacy</x:v>
      </x:c>
      <x:c r="D28" s="12" t="str">
        <x:v>en</x:v>
      </x:c>
      <x:c r="E28" s="12" t="str">
        <x:v>rider</x:v>
      </x:c>
      <x:c r="F28" s="12" t="str">
        <x:v>Other</x:v>
      </x:c>
      <x:c r="G28" s="12" t="str">
        <x:v>Benguluru, Delhi, Hyderabad</x:v>
      </x:c>
      <x:c r="H28" s="12" t="str">
        <x:v>no</x:v>
      </x:c>
      <x:c r="I28" s="12" t="str">
        <x:v>yes</x:v>
      </x:c>
      <x:c r="J28" s="12" t="n">
        <x:v>1</x:v>
      </x:c>
      <x:c r="K28" s="13" t="str"/>
      <x:c r="L28" s="13" t="str"/>
      <x:c r="M28" s="13" t="str"/>
      <x:c r="N28" s="13" t="str"/>
      <x:c r="O28" s="13" t="str"/>
      <x:c r="P28" s="13" t="str">
        <x:v>hotel, airport, street</x:v>
      </x:c>
      <x:c r="Q28" s="13" t="str">
        <x:v>called, waited, cancelled, moved</x:v>
      </x:c>
      <x:c r="R28" s="13" t="str"/>
      <x:c r="S28" s="13" t="str"/>
      <x:c r="T28" s="13" t="str">
        <x:v>landmark, called_messaged</x:v>
      </x:c>
      <x:c r="U28" s="13" t="str">
        <x:v>yes</x:v>
      </x:c>
      <x:c r="V28" s="13" t="str">
        <x:v>On the whole the experience is good. Exceptions will always be there.</x:v>
      </x:c>
      <x:c r="W28" s="12" t="str">
        <x:v>Structured only</x:v>
      </x:c>
      <x:c r="X28" s="12" t="n">
        <x:v>0</x:v>
      </x:c>
      <x:c r="Y28" s="12" t="n">
        <x:v>0</x:v>
      </x:c>
      <x:c r="Z28" s="12" t="n">
        <x:v>0</x:v>
      </x:c>
      <x:c r="AA28" s="12" t="n">
        <x:v>0</x:v>
      </x:c>
      <x:c r="AB28" s="12" t="n">
        <x:v>0</x:v>
      </x:c>
      <x:c r="AC28" s="12" t="n">
        <x:v>0</x:v>
      </x:c>
    </x:row>
    <x:row r="29">
      <x:c r="A29" s="10" t="str">
        <x:v>R031</x:v>
      </x:c>
      <x:c r="B29" s="11" t="n">
        <x:v>46282.20037613426</x:v>
      </x:c>
      <x:c r="C29" s="12" t="str">
        <x:v>Legacy</x:v>
      </x:c>
      <x:c r="D29" s="12" t="str">
        <x:v>en</x:v>
      </x:c>
      <x:c r="E29" s="12" t="str">
        <x:v>rider</x:v>
      </x:c>
      <x:c r="F29" s="12" t="str">
        <x:v>Other</x:v>
      </x:c>
      <x:c r="G29" s="12" t="str">
        <x:v>Other / not specified</x:v>
      </x:c>
      <x:c r="H29" s="12" t="str">
        <x:v>yes</x:v>
      </x:c>
      <x:c r="I29" s="12" t="str">
        <x:v>no</x:v>
      </x:c>
      <x:c r="J29" s="12" t="n">
        <x:v>0</x:v>
      </x:c>
      <x:c r="K29" s="13" t="str"/>
      <x:c r="L29" s="13" t="str"/>
      <x:c r="M29" s="13" t="str"/>
      <x:c r="N29" s="13" t="str"/>
      <x:c r="O29" s="13" t="str"/>
      <x:c r="P29" s="13" t="str"/>
      <x:c r="Q29" s="13" t="str"/>
      <x:c r="R29" s="13" t="str"/>
      <x:c r="S29" s="13" t="str"/>
      <x:c r="T29" s="13" t="str"/>
      <x:c r="U29" s="13" t="str"/>
      <x:c r="V29" s="13" t="str">
        <x:v>Once an overcharging incident by not going to the destination occured at Hyderabad</x:v>
      </x:c>
      <x:c r="W29" s="12" t="str">
        <x:v>Context only</x:v>
      </x:c>
      <x:c r="X29" s="12" t="n">
        <x:v>1</x:v>
      </x:c>
      <x:c r="Y29" s="12" t="n">
        <x:v>0</x:v>
      </x:c>
      <x:c r="Z29" s="12" t="n">
        <x:v>0</x:v>
      </x:c>
      <x:c r="AA29" s="12" t="n">
        <x:v>0</x:v>
      </x:c>
      <x:c r="AB29" s="12" t="n">
        <x:v>0</x:v>
      </x:c>
      <x:c r="AC29" s="12" t="n">
        <x:v>0</x:v>
      </x:c>
    </x:row>
    <x:row r="30">
      <x:c r="A30" s="10" t="str">
        <x:v>R033</x:v>
      </x:c>
      <x:c r="B30" s="11" t="n">
        <x:v>46282.201843310184</x:v>
      </x:c>
      <x:c r="C30" s="12" t="str">
        <x:v>Legacy</x:v>
      </x:c>
      <x:c r="D30" s="12" t="str">
        <x:v>en</x:v>
      </x:c>
      <x:c r="E30" s="12" t="str">
        <x:v>rider</x:v>
      </x:c>
      <x:c r="F30" s="12" t="str">
        <x:v>Hyderabad</x:v>
      </x:c>
      <x:c r="G30" s="12" t="str">
        <x:v>Hyderabad</x:v>
      </x:c>
      <x:c r="H30" s="12" t="str">
        <x:v>yes</x:v>
      </x:c>
      <x:c r="I30" s="12" t="str">
        <x:v>no</x:v>
      </x:c>
      <x:c r="J30" s="12" t="n">
        <x:v>0</x:v>
      </x:c>
      <x:c r="K30" s="13" t="str"/>
      <x:c r="L30" s="13" t="str"/>
      <x:c r="M30" s="13" t="str"/>
      <x:c r="N30" s="13" t="str"/>
      <x:c r="O30" s="13" t="str"/>
      <x:c r="P30" s="13" t="str"/>
      <x:c r="Q30" s="13" t="str"/>
      <x:c r="R30" s="13" t="str"/>
      <x:c r="S30" s="13" t="str"/>
      <x:c r="T30" s="13" t="str"/>
      <x:c r="U30" s="13" t="str"/>
      <x:c r="V30" s="13" t="str">
        <x:v>No</x:v>
      </x:c>
      <x:c r="W30" s="12" t="str">
        <x:v>No issue detail</x:v>
      </x:c>
      <x:c r="X30" s="12" t="n">
        <x:v>1</x:v>
      </x:c>
      <x:c r="Y30" s="12" t="n">
        <x:v>1</x:v>
      </x:c>
      <x:c r="Z30" s="12" t="n">
        <x:v>0</x:v>
      </x:c>
      <x:c r="AA30" s="12" t="n">
        <x:v>0</x:v>
      </x:c>
      <x:c r="AB30" s="12" t="n">
        <x:v>0</x:v>
      </x:c>
      <x:c r="AC30" s="12" t="n">
        <x:v>0</x:v>
      </x:c>
    </x:row>
    <x:row r="31">
      <x:c r="A31" s="10" t="str">
        <x:v>R034</x:v>
      </x:c>
      <x:c r="B31" s="11" t="n">
        <x:v>46282.20329857639</x:v>
      </x:c>
      <x:c r="C31" s="12" t="str">
        <x:v>Legacy</x:v>
      </x:c>
      <x:c r="D31" s="12" t="str">
        <x:v>en</x:v>
      </x:c>
      <x:c r="E31" s="12" t="str">
        <x:v>rider</x:v>
      </x:c>
      <x:c r="F31" s="12" t="str">
        <x:v>Other</x:v>
      </x:c>
      <x:c r="G31" s="12" t="str">
        <x:v>Visakhapatnam</x:v>
      </x:c>
      <x:c r="H31" s="12" t="str">
        <x:v>no</x:v>
      </x:c>
      <x:c r="I31" s="12" t="str">
        <x:v>no</x:v>
      </x:c>
      <x:c r="J31" s="12" t="n">
        <x:v>0</x:v>
      </x:c>
      <x:c r="K31" s="13" t="str"/>
      <x:c r="L31" s="13" t="str"/>
      <x:c r="M31" s="13" t="str"/>
      <x:c r="N31" s="13" t="str"/>
      <x:c r="O31" s="13" t="str"/>
      <x:c r="P31" s="13" t="str"/>
      <x:c r="Q31" s="13" t="str"/>
      <x:c r="R31" s="13" t="str"/>
      <x:c r="S31" s="13" t="str"/>
      <x:c r="T31" s="13" t="str"/>
      <x:c r="U31" s="13" t="str"/>
      <x:c r="V31" s="13" t="str">
        <x:v>Prices are high. So prefering rapido most of the time</x:v>
      </x:c>
      <x:c r="W31" s="12" t="str">
        <x:v>Context only</x:v>
      </x:c>
      <x:c r="X31" s="12" t="n">
        <x:v>0</x:v>
      </x:c>
      <x:c r="Y31" s="12" t="n">
        <x:v>0</x:v>
      </x:c>
      <x:c r="Z31" s="12" t="n">
        <x:v>0</x:v>
      </x:c>
      <x:c r="AA31" s="12" t="n">
        <x:v>0</x:v>
      </x:c>
      <x:c r="AB31" s="12" t="n">
        <x:v>0</x:v>
      </x:c>
      <x:c r="AC31" s="12" t="n">
        <x:v>0</x:v>
      </x:c>
    </x:row>
    <x:row r="32">
      <x:c r="A32" s="10" t="str">
        <x:v>R035</x:v>
      </x:c>
      <x:c r="B32" s="11" t="n">
        <x:v>46282.20502178241</x:v>
      </x:c>
      <x:c r="C32" s="12" t="str">
        <x:v>Legacy</x:v>
      </x:c>
      <x:c r="D32" s="12" t="str">
        <x:v>en</x:v>
      </x:c>
      <x:c r="E32" s="12" t="str">
        <x:v>rider</x:v>
      </x:c>
      <x:c r="F32" s="12" t="str">
        <x:v>Other</x:v>
      </x:c>
      <x:c r="G32" s="12" t="str">
        <x:v>Bangalore</x:v>
      </x:c>
      <x:c r="H32" s="12" t="str">
        <x:v>yes</x:v>
      </x:c>
      <x:c r="I32" s="12" t="str">
        <x:v>no</x:v>
      </x:c>
      <x:c r="J32" s="12" t="n">
        <x:v>0</x:v>
      </x:c>
      <x:c r="K32" s="13" t="str"/>
      <x:c r="L32" s="13" t="str"/>
      <x:c r="M32" s="13" t="str"/>
      <x:c r="N32" s="13" t="str"/>
      <x:c r="O32" s="13" t="str"/>
      <x:c r="P32" s="13" t="str"/>
      <x:c r="Q32" s="13" t="str"/>
      <x:c r="R32" s="13" t="str"/>
      <x:c r="S32" s="13" t="str"/>
      <x:c r="T32" s="13" t="str"/>
      <x:c r="U32" s="13" t="str"/>
      <x:c r="V32" s="13" t="str"/>
      <x:c r="W32" s="12" t="str">
        <x:v>No issue detail</x:v>
      </x:c>
      <x:c r="X32" s="12" t="n">
        <x:v>1</x:v>
      </x:c>
      <x:c r="Y32" s="12" t="n">
        <x:v>0</x:v>
      </x:c>
      <x:c r="Z32" s="12" t="n">
        <x:v>0</x:v>
      </x:c>
      <x:c r="AA32" s="12" t="n">
        <x:v>0</x:v>
      </x:c>
      <x:c r="AB32" s="12" t="n">
        <x:v>0</x:v>
      </x:c>
      <x:c r="AC32" s="12" t="n">
        <x:v>0</x:v>
      </x:c>
    </x:row>
    <x:row r="33">
      <x:c r="A33" s="10" t="str">
        <x:v>R036</x:v>
      </x:c>
      <x:c r="B33" s="11" t="n">
        <x:v>46282.206287685185</x:v>
      </x:c>
      <x:c r="C33" s="12" t="str">
        <x:v>Legacy</x:v>
      </x:c>
      <x:c r="D33" s="12" t="str">
        <x:v>en</x:v>
      </x:c>
      <x:c r="E33" s="12" t="str">
        <x:v>rider</x:v>
      </x:c>
      <x:c r="F33" s="12" t="str">
        <x:v>Other</x:v>
      </x:c>
      <x:c r="G33" s="12" t="str">
        <x:v>Bangalore</x:v>
      </x:c>
      <x:c r="H33" s="12" t="str">
        <x:v>yes</x:v>
      </x:c>
      <x:c r="I33" s="12" t="str">
        <x:v>no</x:v>
      </x:c>
      <x:c r="J33" s="12" t="n">
        <x:v>0</x:v>
      </x:c>
      <x:c r="K33" s="13" t="str"/>
      <x:c r="L33" s="13" t="str"/>
      <x:c r="M33" s="13" t="str"/>
      <x:c r="N33" s="13" t="str"/>
      <x:c r="O33" s="13" t="str"/>
      <x:c r="P33" s="13" t="str"/>
      <x:c r="Q33" s="13" t="str"/>
      <x:c r="R33" s="13" t="str"/>
      <x:c r="S33" s="13" t="str"/>
      <x:c r="T33" s="13" t="str"/>
      <x:c r="U33" s="13" t="str"/>
      <x:c r="V33" s="13" t="str"/>
      <x:c r="W33" s="12" t="str">
        <x:v>No issue detail</x:v>
      </x:c>
      <x:c r="X33" s="12" t="n">
        <x:v>1</x:v>
      </x:c>
      <x:c r="Y33" s="12" t="n">
        <x:v>0</x:v>
      </x:c>
      <x:c r="Z33" s="12" t="n">
        <x:v>0</x:v>
      </x:c>
      <x:c r="AA33" s="12" t="n">
        <x:v>0</x:v>
      </x:c>
      <x:c r="AB33" s="12" t="n">
        <x:v>0</x:v>
      </x:c>
      <x:c r="AC33" s="12" t="n">
        <x:v>0</x:v>
      </x:c>
    </x:row>
    <x:row r="34">
      <x:c r="A34" s="10" t="str">
        <x:v>R037</x:v>
      </x:c>
      <x:c r="B34" s="11" t="n">
        <x:v>46282.20901965278</x:v>
      </x:c>
      <x:c r="C34" s="12" t="str">
        <x:v>Legacy</x:v>
      </x:c>
      <x:c r="D34" s="12" t="str">
        <x:v>en</x:v>
      </x:c>
      <x:c r="E34" s="12" t="str">
        <x:v>driver</x:v>
      </x:c>
      <x:c r="F34" s="12" t="str">
        <x:v>Hyderabad</x:v>
      </x:c>
      <x:c r="G34" s="12" t="str">
        <x:v>Hyderabad</x:v>
      </x:c>
      <x:c r="H34" s="12" t="str">
        <x:v>yes</x:v>
      </x:c>
      <x:c r="I34" s="12" t="str">
        <x:v>no</x:v>
      </x:c>
      <x:c r="J34" s="12" t="n">
        <x:v>0</x:v>
      </x:c>
      <x:c r="K34" s="13" t="str"/>
      <x:c r="L34" s="13" t="str"/>
      <x:c r="M34" s="13" t="str"/>
      <x:c r="N34" s="13" t="str"/>
      <x:c r="O34" s="13" t="str"/>
      <x:c r="P34" s="13" t="str"/>
      <x:c r="Q34" s="13" t="str"/>
      <x:c r="R34" s="13" t="str"/>
      <x:c r="S34" s="13" t="str"/>
      <x:c r="T34" s="13" t="str"/>
      <x:c r="U34" s="13" t="str"/>
      <x:c r="V34" s="13" t="str"/>
      <x:c r="W34" s="12" t="str">
        <x:v>No issue detail</x:v>
      </x:c>
      <x:c r="X34" s="12" t="n">
        <x:v>1</x:v>
      </x:c>
      <x:c r="Y34" s="12" t="n">
        <x:v>1</x:v>
      </x:c>
      <x:c r="Z34" s="12" t="n">
        <x:v>0</x:v>
      </x:c>
      <x:c r="AA34" s="12" t="n">
        <x:v>0</x:v>
      </x:c>
      <x:c r="AB34" s="12" t="n">
        <x:v>0</x:v>
      </x:c>
      <x:c r="AC34" s="12" t="n">
        <x:v>0</x:v>
      </x:c>
    </x:row>
    <x:row r="35">
      <x:c r="A35" s="10" t="str">
        <x:v>R038</x:v>
      </x:c>
      <x:c r="B35" s="11" t="n">
        <x:v>46282.21165704861</x:v>
      </x:c>
      <x:c r="C35" s="12" t="str">
        <x:v>Legacy</x:v>
      </x:c>
      <x:c r="D35" s="12" t="str">
        <x:v>en</x:v>
      </x:c>
      <x:c r="E35" s="12" t="str">
        <x:v>rider</x:v>
      </x:c>
      <x:c r="F35" s="12" t="str">
        <x:v>Hyderabad</x:v>
      </x:c>
      <x:c r="G35" s="12" t="str">
        <x:v>Hyderabad</x:v>
      </x:c>
      <x:c r="H35" s="12" t="str">
        <x:v>no</x:v>
      </x:c>
      <x:c r="I35" s="12" t="str">
        <x:v>no</x:v>
      </x:c>
      <x:c r="J35" s="12" t="n">
        <x:v>0</x:v>
      </x:c>
      <x:c r="K35" s="13" t="str"/>
      <x:c r="L35" s="13" t="str"/>
      <x:c r="M35" s="13" t="str"/>
      <x:c r="N35" s="13" t="str"/>
      <x:c r="O35" s="13" t="str"/>
      <x:c r="P35" s="13" t="str"/>
      <x:c r="Q35" s="13" t="str"/>
      <x:c r="R35" s="13" t="str"/>
      <x:c r="S35" s="13" t="str"/>
      <x:c r="T35" s="13" t="str"/>
      <x:c r="U35" s="13" t="str"/>
      <x:c r="V35" s="13" t="str">
        <x:v>No not much</x:v>
      </x:c>
      <x:c r="W35" s="12" t="str">
        <x:v>No issue detail</x:v>
      </x:c>
      <x:c r="X35" s="12" t="n">
        <x:v>0</x:v>
      </x:c>
      <x:c r="Y35" s="12" t="n">
        <x:v>1</x:v>
      </x:c>
      <x:c r="Z35" s="12" t="n">
        <x:v>0</x:v>
      </x:c>
      <x:c r="AA35" s="12" t="n">
        <x:v>0</x:v>
      </x:c>
      <x:c r="AB35" s="12" t="n">
        <x:v>0</x:v>
      </x:c>
      <x:c r="AC35" s="12" t="n">
        <x:v>0</x:v>
      </x:c>
    </x:row>
    <x:row r="36">
      <x:c r="A36" s="10" t="str">
        <x:v>R039</x:v>
      </x:c>
      <x:c r="B36" s="11" t="n">
        <x:v>46282.21220751158</x:v>
      </x:c>
      <x:c r="C36" s="12" t="str">
        <x:v>Legacy</x:v>
      </x:c>
      <x:c r="D36" s="12" t="str">
        <x:v>en</x:v>
      </x:c>
      <x:c r="E36" s="12" t="str">
        <x:v>driver</x:v>
      </x:c>
      <x:c r="F36" s="12" t="str">
        <x:v>Hyderabad</x:v>
      </x:c>
      <x:c r="G36" s="12" t="str">
        <x:v>Hyderabad</x:v>
      </x:c>
      <x:c r="H36" s="12" t="str">
        <x:v>yes</x:v>
      </x:c>
      <x:c r="I36" s="12" t="str">
        <x:v>no</x:v>
      </x:c>
      <x:c r="J36" s="12" t="n">
        <x:v>0</x:v>
      </x:c>
      <x:c r="K36" s="13" t="str"/>
      <x:c r="L36" s="13" t="str"/>
      <x:c r="M36" s="13" t="str"/>
      <x:c r="N36" s="13" t="str"/>
      <x:c r="O36" s="13" t="str"/>
      <x:c r="P36" s="13" t="str"/>
      <x:c r="Q36" s="13" t="str"/>
      <x:c r="R36" s="13" t="str"/>
      <x:c r="S36" s="13" t="str"/>
      <x:c r="T36" s="13" t="str"/>
      <x:c r="U36" s="13" t="str"/>
      <x:c r="V36" s="13" t="str">
        <x:v>Good to zero error friendly app</x:v>
      </x:c>
      <x:c r="W36" s="12" t="str">
        <x:v>Context only</x:v>
      </x:c>
      <x:c r="X36" s="12" t="n">
        <x:v>1</x:v>
      </x:c>
      <x:c r="Y36" s="12" t="n">
        <x:v>1</x:v>
      </x:c>
      <x:c r="Z36" s="12" t="n">
        <x:v>0</x:v>
      </x:c>
      <x:c r="AA36" s="12" t="n">
        <x:v>0</x:v>
      </x:c>
      <x:c r="AB36" s="12" t="n">
        <x:v>0</x:v>
      </x:c>
      <x:c r="AC36" s="12" t="n">
        <x:v>0</x:v>
      </x:c>
    </x:row>
    <x:row r="37">
      <x:c r="A37" s="10" t="str">
        <x:v>R040</x:v>
      </x:c>
      <x:c r="B37" s="11" t="n">
        <x:v>46282.21539229167</x:v>
      </x:c>
      <x:c r="C37" s="12" t="str">
        <x:v>Legacy</x:v>
      </x:c>
      <x:c r="D37" s="12" t="str">
        <x:v>en</x:v>
      </x:c>
      <x:c r="E37" s="12" t="str">
        <x:v>rider</x:v>
      </x:c>
      <x:c r="F37" s="12" t="str">
        <x:v>Other</x:v>
      </x:c>
      <x:c r="G37" s="12" t="str">
        <x:v>Bengaluru</x:v>
      </x:c>
      <x:c r="H37" s="12" t="str">
        <x:v>yes</x:v>
      </x:c>
      <x:c r="I37" s="12" t="str">
        <x:v>yes</x:v>
      </x:c>
      <x:c r="J37" s="12" t="n">
        <x:v>1</x:v>
      </x:c>
      <x:c r="K37" s="13" t="str"/>
      <x:c r="L37" s="13" t="str"/>
      <x:c r="M37" s="13" t="str"/>
      <x:c r="N37" s="13" t="str"/>
      <x:c r="O37" s="13" t="str"/>
      <x:c r="P37" s="13" t="str">
        <x:v>mall</x:v>
      </x:c>
      <x:c r="Q37" s="13" t="str">
        <x:v>other</x:v>
      </x:c>
      <x:c r="R37" s="13" t="str">
        <x:v>I had no choice but to carry on with ride</x:v>
      </x:c>
      <x:c r="S37" s="13" t="str"/>
      <x:c r="T37" s="13" t="str">
        <x:v>nothing</x:v>
      </x:c>
      <x:c r="U37" s="13" t="str">
        <x:v>no</x:v>
      </x:c>
      <x:c r="V37" s="13" t="str"/>
      <x:c r="W37" s="12" t="str">
        <x:v>Structured only</x:v>
      </x:c>
      <x:c r="X37" s="12" t="n">
        <x:v>1</x:v>
      </x:c>
      <x:c r="Y37" s="12" t="n">
        <x:v>0</x:v>
      </x:c>
      <x:c r="Z37" s="12" t="n">
        <x:v>0</x:v>
      </x:c>
      <x:c r="AA37" s="12" t="n">
        <x:v>0</x:v>
      </x:c>
      <x:c r="AB37" s="12" t="n">
        <x:v>0</x:v>
      </x:c>
      <x:c r="AC37" s="12" t="n">
        <x:v>0</x:v>
      </x:c>
    </x:row>
    <x:row r="38">
      <x:c r="A38" s="10" t="str">
        <x:v>R041</x:v>
      </x:c>
      <x:c r="B38" s="11" t="n">
        <x:v>46282.21843878472</x:v>
      </x:c>
      <x:c r="C38" s="12" t="str">
        <x:v>Legacy</x:v>
      </x:c>
      <x:c r="D38" s="12" t="str">
        <x:v>te</x:v>
      </x:c>
      <x:c r="E38" s="12" t="str">
        <x:v>rider</x:v>
      </x:c>
      <x:c r="F38" s="12" t="str">
        <x:v>Other</x:v>
      </x:c>
      <x:c r="G38" s="12" t="str">
        <x:v>Visakhapatnam</x:v>
      </x:c>
      <x:c r="H38" s="12" t="str">
        <x:v>yes</x:v>
      </x:c>
      <x:c r="I38" s="12" t="str">
        <x:v>yes</x:v>
      </x:c>
      <x:c r="J38" s="12" t="n">
        <x:v>1</x:v>
      </x:c>
      <x:c r="K38" s="13" t="str"/>
      <x:c r="L38" s="13" t="str"/>
      <x:c r="M38" s="13" t="str"/>
      <x:c r="N38" s="13" t="str"/>
      <x:c r="O38" s="13" t="str"/>
      <x:c r="P38" s="13" t="str">
        <x:v>hotel</x:v>
      </x:c>
      <x:c r="Q38" s="13" t="str">
        <x:v>called</x:v>
      </x:c>
      <x:c r="R38" s="13" t="str"/>
      <x:c r="S38" s="13" t="str"/>
      <x:c r="T38" s="13" t="str">
        <x:v>called_messaged</x:v>
      </x:c>
      <x:c r="U38" s="13" t="str">
        <x:v>no</x:v>
      </x:c>
      <x:c r="V38" s="13" t="str"/>
      <x:c r="W38" s="12" t="str">
        <x:v>Structured only</x:v>
      </x:c>
      <x:c r="X38" s="12" t="n">
        <x:v>1</x:v>
      </x:c>
      <x:c r="Y38" s="12" t="n">
        <x:v>0</x:v>
      </x:c>
      <x:c r="Z38" s="12" t="n">
        <x:v>0</x:v>
      </x:c>
      <x:c r="AA38" s="12" t="n">
        <x:v>0</x:v>
      </x:c>
      <x:c r="AB38" s="12" t="n">
        <x:v>0</x:v>
      </x:c>
      <x:c r="AC38" s="12" t="n">
        <x:v>0</x:v>
      </x:c>
    </x:row>
    <x:row r="39">
      <x:c r="A39" s="10" t="str">
        <x:v>R042</x:v>
      </x:c>
      <x:c r="B39" s="11" t="n">
        <x:v>46282.2210174537</x:v>
      </x:c>
      <x:c r="C39" s="12" t="str">
        <x:v>Current</x:v>
      </x:c>
      <x:c r="D39" s="12" t="str">
        <x:v>te</x:v>
      </x:c>
      <x:c r="E39" s="12" t="str">
        <x:v>rider</x:v>
      </x:c>
      <x:c r="F39" s="12" t="str">
        <x:v>Hyderabad</x:v>
      </x:c>
      <x:c r="G39" s="12" t="str">
        <x:v>Hyderabad</x:v>
      </x:c>
      <x:c r="H39" s="12" t="str">
        <x:v>yes</x:v>
      </x:c>
      <x:c r="I39" s="12" t="str">
        <x:v>no</x:v>
      </x:c>
      <x:c r="J39" s="12" t="n">
        <x:v>0</x:v>
      </x:c>
      <x:c r="K39" s="13" t="str"/>
      <x:c r="L39" s="13" t="str"/>
      <x:c r="M39" s="13" t="str"/>
      <x:c r="N39" s="13" t="str"/>
      <x:c r="O39" s="13" t="str"/>
      <x:c r="P39" s="13" t="str"/>
      <x:c r="Q39" s="13" t="str"/>
      <x:c r="R39" s="13" t="str"/>
      <x:c r="S39" s="13" t="str"/>
      <x:c r="T39" s="13" t="str"/>
      <x:c r="U39" s="13" t="str"/>
      <x:c r="V39" s="13" t="str">
        <x:v>అధిక టిప్స్ మరియు క్యాన్సిలషన్ ఇబ్బదిగా ఉంది.</x:v>
      </x:c>
      <x:c r="W39" s="12" t="str">
        <x:v>Context only</x:v>
      </x:c>
      <x:c r="X39" s="12" t="n">
        <x:v>1</x:v>
      </x:c>
      <x:c r="Y39" s="12" t="n">
        <x:v>1</x:v>
      </x:c>
      <x:c r="Z39" s="12" t="n">
        <x:v>0</x:v>
      </x:c>
      <x:c r="AA39" s="12" t="n">
        <x:v>0</x:v>
      </x:c>
      <x:c r="AB39" s="12" t="n">
        <x:v>0</x:v>
      </x:c>
      <x:c r="AC39" s="12" t="n">
        <x:v>0</x:v>
      </x:c>
    </x:row>
    <x:row r="40">
      <x:c r="A40" s="10" t="str">
        <x:v>R045</x:v>
      </x:c>
      <x:c r="B40" s="11" t="n">
        <x:v>46282.22465099537</x:v>
      </x:c>
      <x:c r="C40" s="12" t="str">
        <x:v>Current</x:v>
      </x:c>
      <x:c r="D40" s="12" t="str">
        <x:v>en</x:v>
      </x:c>
      <x:c r="E40" s="12" t="str">
        <x:v>rider</x:v>
      </x:c>
      <x:c r="F40" s="12" t="str">
        <x:v>Other</x:v>
      </x:c>
      <x:c r="G40" s="12" t="str">
        <x:v>Kolkata</x:v>
      </x:c>
      <x:c r="H40" s="12" t="str">
        <x:v>yes</x:v>
      </x:c>
      <x:c r="I40" s="12" t="str">
        <x:v>yes</x:v>
      </x:c>
      <x:c r="J40" s="12" t="n">
        <x:v>1</x:v>
      </x:c>
      <x:c r="K40" s="13" t="str"/>
      <x:c r="L40" s="13" t="str"/>
      <x:c r="M40" s="13" t="str"/>
      <x:c r="N40" s="13" t="str"/>
      <x:c r="O40" s="13" t="str">
        <x:v>wrong_pin, driver_no_stop, cancelled</x:v>
      </x:c>
      <x:c r="P40" s="13" t="str">
        <x:v>hospital</x:v>
      </x:c>
      <x:c r="Q40" s="13" t="str">
        <x:v>waited</x:v>
      </x:c>
      <x:c r="R40" s="13" t="str"/>
      <x:c r="S40" s="13" t="str">
        <x:v>gt15</x:v>
      </x:c>
      <x:c r="T40" s="13" t="str">
        <x:v>nothing</x:v>
      </x:c>
      <x:c r="U40" s="13" t="str">
        <x:v>yes</x:v>
      </x:c>
      <x:c r="V40" s="13" t="str"/>
      <x:c r="W40" s="12" t="str">
        <x:v>Structured only</x:v>
      </x:c>
      <x:c r="X40" s="12" t="n">
        <x:v>1</x:v>
      </x:c>
      <x:c r="Y40" s="12" t="n">
        <x:v>0</x:v>
      </x:c>
      <x:c r="Z40" s="12" t="n">
        <x:v>1</x:v>
      </x:c>
      <x:c r="AA40" s="12" t="n">
        <x:v>0</x:v>
      </x:c>
      <x:c r="AB40" s="12" t="n">
        <x:v>0</x:v>
      </x:c>
      <x:c r="AC40" s="12" t="n">
        <x:v>0</x:v>
      </x:c>
    </x:row>
    <x:row r="41">
      <x:c r="A41" s="10" t="str">
        <x:v>R046</x:v>
      </x:c>
      <x:c r="B41" s="11" t="n">
        <x:v>46282.22499310185</x:v>
      </x:c>
      <x:c r="C41" s="12" t="str">
        <x:v>Current</x:v>
      </x:c>
      <x:c r="D41" s="12" t="str">
        <x:v>en</x:v>
      </x:c>
      <x:c r="E41" s="12" t="str">
        <x:v>driver</x:v>
      </x:c>
      <x:c r="F41" s="12" t="str">
        <x:v>Other</x:v>
      </x:c>
      <x:c r="G41" s="12" t="str">
        <x:v>Mumbai</x:v>
      </x:c>
      <x:c r="H41" s="12" t="str">
        <x:v>yes</x:v>
      </x:c>
      <x:c r="I41" s="12" t="str">
        <x:v>no</x:v>
      </x:c>
      <x:c r="J41" s="12" t="n">
        <x:v>0</x:v>
      </x:c>
      <x:c r="K41" s="13" t="str"/>
      <x:c r="L41" s="13" t="str"/>
      <x:c r="M41" s="13" t="str"/>
      <x:c r="N41" s="13" t="str"/>
      <x:c r="O41" s="13" t="str"/>
      <x:c r="P41" s="13" t="str"/>
      <x:c r="Q41" s="13" t="str"/>
      <x:c r="R41" s="13" t="str"/>
      <x:c r="S41" s="13" t="str"/>
      <x:c r="T41" s="13" t="str"/>
      <x:c r="U41" s="13" t="str"/>
      <x:c r="V41" s="13" t="str">
        <x:v>The vehicles are dirty and not kept well. Not provided with simple things like a sealed bottle of water. No fire extinguisher. The Driver is shabbily dressed. Etc</x:v>
      </x:c>
      <x:c r="W41" s="12" t="str">
        <x:v>Context only</x:v>
      </x:c>
      <x:c r="X41" s="12" t="n">
        <x:v>1</x:v>
      </x:c>
      <x:c r="Y41" s="12" t="n">
        <x:v>0</x:v>
      </x:c>
      <x:c r="Z41" s="12" t="n">
        <x:v>0</x:v>
      </x:c>
      <x:c r="AA41" s="12" t="n">
        <x:v>0</x:v>
      </x:c>
      <x:c r="AB41" s="12" t="n">
        <x:v>0</x:v>
      </x:c>
      <x:c r="AC41" s="12" t="n">
        <x:v>0</x:v>
      </x:c>
    </x:row>
    <x:row r="42">
      <x:c r="A42" s="10" t="str">
        <x:v>R047</x:v>
      </x:c>
      <x:c r="B42" s="11" t="n">
        <x:v>46282.22536693287</x:v>
      </x:c>
      <x:c r="C42" s="12" t="str">
        <x:v>Current</x:v>
      </x:c>
      <x:c r="D42" s="12" t="str">
        <x:v>en</x:v>
      </x:c>
      <x:c r="E42" s="12" t="str">
        <x:v>rider</x:v>
      </x:c>
      <x:c r="F42" s="12" t="str">
        <x:v>Hyderabad</x:v>
      </x:c>
      <x:c r="G42" s="12" t="str">
        <x:v>Hyderabad</x:v>
      </x:c>
      <x:c r="H42" s="12" t="str">
        <x:v>yes</x:v>
      </x:c>
      <x:c r="I42" s="12" t="str">
        <x:v>yes</x:v>
      </x:c>
      <x:c r="J42" s="12" t="n">
        <x:v>1</x:v>
      </x:c>
      <x:c r="K42" s="13" t="str">
        <x:v>During rains it would be very difficult to book a cab and even after booking there are many cancellations based on the drop point.</x:v>
      </x:c>
      <x:c r="L42" s="13" t="str"/>
      <x:c r="M42" s="13" t="str">
        <x:v>Driver calls and asks for drop location. Then based on the location he cancels</x:v>
      </x:c>
      <x:c r="N42" s="13" t="str">
        <x:v>Peek time bookings</x:v>
      </x:c>
      <x:c r="O42" s="13" t="str">
        <x:v>poor_signal, cancelled, wrong_pin</x:v>
      </x:c>
      <x:c r="P42" s="13" t="str">
        <x:v>mall, office, station, residential</x:v>
      </x:c>
      <x:c r="Q42" s="13" t="str">
        <x:v>moved, called</x:v>
      </x:c>
      <x:c r="R42" s="13" t="str"/>
      <x:c r="S42" s="13" t="str">
        <x:v>2to5</x:v>
      </x:c>
      <x:c r="T42" s="13" t="str">
        <x:v>called_messaged</x:v>
      </x:c>
      <x:c r="U42" s="13" t="str">
        <x:v>yes</x:v>
      </x:c>
      <x:c r="V42" s="13" t="str"/>
      <x:c r="W42" s="12" t="str">
        <x:v>Partial detailed</x:v>
      </x:c>
      <x:c r="X42" s="12" t="n">
        <x:v>1</x:v>
      </x:c>
      <x:c r="Y42" s="12" t="n">
        <x:v>1</x:v>
      </x:c>
      <x:c r="Z42" s="12" t="n">
        <x:v>0</x:v>
      </x:c>
      <x:c r="AA42" s="12" t="n">
        <x:v>1</x:v>
      </x:c>
      <x:c r="AB42" s="12" t="n">
        <x:v>0</x:v>
      </x:c>
      <x:c r="AC42" s="12" t="n">
        <x:v>0</x:v>
      </x:c>
    </x:row>
    <x:row r="43">
      <x:c r="A43" s="10" t="str">
        <x:v>R048</x:v>
      </x:c>
      <x:c r="B43" s="11" t="n">
        <x:v>46282.23397872685</x:v>
      </x:c>
      <x:c r="C43" s="12" t="str">
        <x:v>Current</x:v>
      </x:c>
      <x:c r="D43" s="12" t="str">
        <x:v>en</x:v>
      </x:c>
      <x:c r="E43" s="12" t="str">
        <x:v>rider</x:v>
      </x:c>
      <x:c r="F43" s="12" t="str">
        <x:v>Hyderabad</x:v>
      </x:c>
      <x:c r="G43" s="12" t="str">
        <x:v>Hyderabad</x:v>
      </x:c>
      <x:c r="H43" s="12" t="str">
        <x:v>yes</x:v>
      </x:c>
      <x:c r="I43" s="12" t="str">
        <x:v>no</x:v>
      </x:c>
      <x:c r="J43" s="12" t="n">
        <x:v>0</x:v>
      </x:c>
      <x:c r="K43" s="13" t="str"/>
      <x:c r="L43" s="13" t="str"/>
      <x:c r="M43" s="13" t="str"/>
      <x:c r="N43" s="13" t="str"/>
      <x:c r="O43" s="13" t="str"/>
      <x:c r="P43" s="13" t="str"/>
      <x:c r="Q43" s="13" t="str"/>
      <x:c r="R43" s="13" t="str"/>
      <x:c r="S43" s="13" t="str"/>
      <x:c r="T43" s="13" t="str"/>
      <x:c r="U43" s="13" t="str"/>
      <x:c r="V43" s="13" t="str">
        <x:v>xxx</x:v>
      </x:c>
      <x:c r="W43" s="12" t="str">
        <x:v>No issue detail</x:v>
      </x:c>
      <x:c r="X43" s="12" t="n">
        <x:v>1</x:v>
      </x:c>
      <x:c r="Y43" s="12" t="n">
        <x:v>1</x:v>
      </x:c>
      <x:c r="Z43" s="12" t="n">
        <x:v>0</x:v>
      </x:c>
      <x:c r="AA43" s="12" t="n">
        <x:v>0</x:v>
      </x:c>
      <x:c r="AB43" s="12" t="n">
        <x:v>0</x:v>
      </x:c>
      <x:c r="AC43" s="12" t="n">
        <x:v>0</x:v>
      </x:c>
    </x:row>
    <x:row r="44">
      <x:c r="A44" s="10" t="str">
        <x:v>R049</x:v>
      </x:c>
      <x:c r="B44" s="11" t="n">
        <x:v>46282.23477805556</x:v>
      </x:c>
      <x:c r="C44" s="12" t="str">
        <x:v>Current</x:v>
      </x:c>
      <x:c r="D44" s="12" t="str">
        <x:v>en</x:v>
      </x:c>
      <x:c r="E44" s="12" t="str">
        <x:v>rider</x:v>
      </x:c>
      <x:c r="F44" s="12" t="str">
        <x:v>Hyderabad</x:v>
      </x:c>
      <x:c r="G44" s="12" t="str">
        <x:v>Hyderabad</x:v>
      </x:c>
      <x:c r="H44" s="12" t="str">
        <x:v>yes</x:v>
      </x:c>
      <x:c r="I44" s="12" t="str">
        <x:v>no</x:v>
      </x:c>
      <x:c r="J44" s="12" t="n">
        <x:v>0</x:v>
      </x:c>
      <x:c r="K44" s="13" t="str"/>
      <x:c r="L44" s="13" t="str"/>
      <x:c r="M44" s="13" t="str"/>
      <x:c r="N44" s="13" t="str"/>
      <x:c r="O44" s="13" t="str"/>
      <x:c r="P44" s="13" t="str"/>
      <x:c r="Q44" s="13" t="str"/>
      <x:c r="R44" s="13" t="str"/>
      <x:c r="S44" s="13" t="str"/>
      <x:c r="T44" s="13" t="str"/>
      <x:c r="U44" s="13" t="str"/>
      <x:c r="V44" s="13" t="str">
        <x:v>There were instances when the driver has accepted the ride but will not move or start from the location for long time and later cancels or waits for us to cancel the ride.</x:v>
      </x:c>
      <x:c r="W44" s="12" t="str">
        <x:v>Context only</x:v>
      </x:c>
      <x:c r="X44" s="12" t="n">
        <x:v>1</x:v>
      </x:c>
      <x:c r="Y44" s="12" t="n">
        <x:v>1</x:v>
      </x:c>
      <x:c r="Z44" s="12" t="n">
        <x:v>0</x:v>
      </x:c>
      <x:c r="AA44" s="12" t="n">
        <x:v>0</x:v>
      </x:c>
      <x:c r="AB44" s="12" t="n">
        <x:v>0</x:v>
      </x:c>
      <x:c r="AC44" s="12" t="n">
        <x:v>0</x:v>
      </x:c>
    </x:row>
    <x:row r="45">
      <x:c r="A45" s="10" t="str">
        <x:v>R050</x:v>
      </x:c>
      <x:c r="B45" s="11" t="n">
        <x:v>46282.242795578706</x:v>
      </x:c>
      <x:c r="C45" s="12" t="str">
        <x:v>Current</x:v>
      </x:c>
      <x:c r="D45" s="12" t="str">
        <x:v>en</x:v>
      </x:c>
      <x:c r="E45" s="12" t="str">
        <x:v>rider</x:v>
      </x:c>
      <x:c r="F45" s="12" t="str">
        <x:v>Other</x:v>
      </x:c>
      <x:c r="G45" s="12" t="str">
        <x:v>Bangalore</x:v>
      </x:c>
      <x:c r="H45" s="12" t="str">
        <x:v>yes</x:v>
      </x:c>
      <x:c r="I45" s="12" t="str">
        <x:v>yes</x:v>
      </x:c>
      <x:c r="J45" s="12" t="n">
        <x:v>1</x:v>
      </x:c>
      <x:c r="K45" s="13" t="str"/>
      <x:c r="L45" s="13" t="str"/>
      <x:c r="M45" s="13" t="str"/>
      <x:c r="N45" s="13" t="str"/>
      <x:c r="O45" s="13" t="str">
        <x:v>similar_gates, driver_no_stop, poor_signal, long_walk, cancelled, wrong_pin</x:v>
      </x:c>
      <x:c r="P45" s="13" t="str">
        <x:v>airport, mall, office, street, residential</x:v>
      </x:c>
      <x:c r="Q45" s="13" t="str">
        <x:v>called, messaged, moved, waited</x:v>
      </x:c>
      <x:c r="R45" s="13" t="str"/>
      <x:c r="S45" s="13" t="str">
        <x:v>gt15</x:v>
      </x:c>
      <x:c r="T45" s="13" t="str">
        <x:v>called_messaged</x:v>
      </x:c>
      <x:c r="U45" s="13" t="str">
        <x:v>yes</x:v>
      </x:c>
      <x:c r="V45" s="13" t="str"/>
      <x:c r="W45" s="12" t="str">
        <x:v>Structured only</x:v>
      </x:c>
      <x:c r="X45" s="12" t="n">
        <x:v>1</x:v>
      </x:c>
      <x:c r="Y45" s="12" t="n">
        <x:v>0</x:v>
      </x:c>
      <x:c r="Z45" s="12" t="n">
        <x:v>1</x:v>
      </x:c>
      <x:c r="AA45" s="12" t="n">
        <x:v>0</x:v>
      </x:c>
      <x:c r="AB45" s="12" t="n">
        <x:v>0</x:v>
      </x:c>
      <x:c r="AC45" s="12" t="n">
        <x:v>0</x:v>
      </x:c>
    </x:row>
    <x:row r="46">
      <x:c r="A46" s="10" t="str">
        <x:v>R051</x:v>
      </x:c>
      <x:c r="B46" s="11" t="n">
        <x:v>46282.243515138885</x:v>
      </x:c>
      <x:c r="C46" s="12" t="str">
        <x:v>Current</x:v>
      </x:c>
      <x:c r="D46" s="12" t="str">
        <x:v>en</x:v>
      </x:c>
      <x:c r="E46" s="12" t="str">
        <x:v>rider</x:v>
      </x:c>
      <x:c r="F46" s="12" t="str">
        <x:v>Hyderabad</x:v>
      </x:c>
      <x:c r="G46" s="12" t="str">
        <x:v>Hyderabad</x:v>
      </x:c>
      <x:c r="H46" s="12" t="str">
        <x:v>yes</x:v>
      </x:c>
      <x:c r="I46" s="12" t="str">
        <x:v>no</x:v>
      </x:c>
      <x:c r="J46" s="12" t="n">
        <x:v>0</x:v>
      </x:c>
      <x:c r="K46" s="13" t="str"/>
      <x:c r="L46" s="13" t="str"/>
      <x:c r="M46" s="13" t="str"/>
      <x:c r="N46" s="13" t="str"/>
      <x:c r="O46" s="13" t="str"/>
      <x:c r="P46" s="13" t="str"/>
      <x:c r="Q46" s="13" t="str"/>
      <x:c r="R46" s="13" t="str"/>
      <x:c r="S46" s="13" t="str"/>
      <x:c r="T46" s="13" t="str"/>
      <x:c r="U46" s="13" t="str"/>
      <x:c r="V46" s="13" t="str">
        <x:v>If the pick up time is early in the morning say 4.30 am or 5 am there are issues of delay or last minute cancellation.   Few times the cab was smelling and not clean.  Drivers keep speaking on mobile while driving.</x:v>
      </x:c>
      <x:c r="W46" s="12" t="str">
        <x:v>Context only</x:v>
      </x:c>
      <x:c r="X46" s="12" t="n">
        <x:v>1</x:v>
      </x:c>
      <x:c r="Y46" s="12" t="n">
        <x:v>1</x:v>
      </x:c>
      <x:c r="Z46" s="12" t="n">
        <x:v>0</x:v>
      </x:c>
      <x:c r="AA46" s="12" t="n">
        <x:v>0</x:v>
      </x:c>
      <x:c r="AB46" s="12" t="n">
        <x:v>0</x:v>
      </x:c>
      <x:c r="AC46" s="12" t="n">
        <x:v>0</x:v>
      </x:c>
    </x:row>
    <x:row r="47">
      <x:c r="A47" s="10" t="str">
        <x:v>R052</x:v>
      </x:c>
      <x:c r="B47" s="11" t="n">
        <x:v>46282.24830609954</x:v>
      </x:c>
      <x:c r="C47" s="12" t="str">
        <x:v>Current</x:v>
      </x:c>
      <x:c r="D47" s="12" t="str">
        <x:v>en</x:v>
      </x:c>
      <x:c r="E47" s="12" t="str">
        <x:v>rider</x:v>
      </x:c>
      <x:c r="F47" s="12" t="str">
        <x:v>Hyderabad</x:v>
      </x:c>
      <x:c r="G47" s="12" t="str">
        <x:v>Hyderabad</x:v>
      </x:c>
      <x:c r="H47" s="12" t="str">
        <x:v>yes</x:v>
      </x:c>
      <x:c r="I47" s="12" t="str">
        <x:v>no</x:v>
      </x:c>
      <x:c r="J47" s="12" t="n">
        <x:v>0</x:v>
      </x:c>
      <x:c r="K47" s="13" t="str"/>
      <x:c r="L47" s="13" t="str"/>
      <x:c r="M47" s="13" t="str"/>
      <x:c r="N47" s="13" t="str"/>
      <x:c r="O47" s="13" t="str"/>
      <x:c r="P47" s="13" t="str"/>
      <x:c r="Q47" s="13" t="str"/>
      <x:c r="R47" s="13" t="str"/>
      <x:c r="S47" s="13" t="str"/>
      <x:c r="T47" s="13" t="str"/>
      <x:c r="U47" s="13" t="str"/>
      <x:c r="V47" s="13" t="str"/>
      <x:c r="W47" s="12" t="str">
        <x:v>No issue detail</x:v>
      </x:c>
      <x:c r="X47" s="12" t="n">
        <x:v>1</x:v>
      </x:c>
      <x:c r="Y47" s="12" t="n">
        <x:v>1</x:v>
      </x:c>
      <x:c r="Z47" s="12" t="n">
        <x:v>0</x:v>
      </x:c>
      <x:c r="AA47" s="12" t="n">
        <x:v>0</x:v>
      </x:c>
      <x:c r="AB47" s="12" t="n">
        <x:v>0</x:v>
      </x:c>
      <x:c r="AC47" s="12" t="n">
        <x:v>0</x:v>
      </x:c>
    </x:row>
    <x:row r="48">
      <x:c r="A48" s="10" t="str">
        <x:v>R053</x:v>
      </x:c>
      <x:c r="B48" s="11" t="n">
        <x:v>46282.251308831015</x:v>
      </x:c>
      <x:c r="C48" s="12" t="str">
        <x:v>Current</x:v>
      </x:c>
      <x:c r="D48" s="12" t="str">
        <x:v>en</x:v>
      </x:c>
      <x:c r="E48" s="12" t="str">
        <x:v>rider</x:v>
      </x:c>
      <x:c r="F48" s="12" t="str">
        <x:v>Hyderabad</x:v>
      </x:c>
      <x:c r="G48" s="12" t="str">
        <x:v>Hyderabad</x:v>
      </x:c>
      <x:c r="H48" s="12" t="str">
        <x:v>yes</x:v>
      </x:c>
      <x:c r="I48" s="12" t="str">
        <x:v>yes</x:v>
      </x:c>
      <x:c r="J48" s="12" t="n">
        <x:v>1</x:v>
      </x:c>
      <x:c r="K48" s="13" t="str">
        <x:v>Some of the driver's are unable to identity the location and they are asking me to cancel the ride</x:v>
      </x:c>
      <x:c r="L48" s="13" t="str"/>
      <x:c r="M48" s="13" t="str">
        <x:v>Because the waiting time is too long</x:v>
      </x:c>
      <x:c r="N48" s="13" t="str">
        <x:v>Finding the location or they doesn't want come</x:v>
      </x:c>
      <x:c r="O48" s="13" t="str">
        <x:v>wrong_pin</x:v>
      </x:c>
      <x:c r="P48" s="13" t="str">
        <x:v>residential</x:v>
      </x:c>
      <x:c r="Q48" s="13" t="str">
        <x:v>messaged</x:v>
      </x:c>
      <x:c r="R48" s="13" t="str"/>
      <x:c r="S48" s="13" t="str">
        <x:v>5to15</x:v>
      </x:c>
      <x:c r="T48" s="13" t="str">
        <x:v>called_messaged</x:v>
      </x:c>
      <x:c r="U48" s="13" t="str">
        <x:v>yes</x:v>
      </x:c>
      <x:c r="V48" s="13" t="str">
        <x:v>Nothing</x:v>
      </x:c>
      <x:c r="W48" s="12" t="str">
        <x:v>Partial detailed</x:v>
      </x:c>
      <x:c r="X48" s="12" t="n">
        <x:v>1</x:v>
      </x:c>
      <x:c r="Y48" s="12" t="n">
        <x:v>1</x:v>
      </x:c>
      <x:c r="Z48" s="12" t="n">
        <x:v>1</x:v>
      </x:c>
      <x:c r="AA48" s="12" t="n">
        <x:v>1</x:v>
      </x:c>
      <x:c r="AB48" s="12" t="n">
        <x:v>0</x:v>
      </x:c>
      <x:c r="AC48" s="12" t="n">
        <x:v>0</x:v>
      </x:c>
    </x:row>
    <x:row r="49">
      <x:c r="A49" s="10" t="str">
        <x:v>R054</x:v>
      </x:c>
      <x:c r="B49" s="11" t="n">
        <x:v>46282.251401967595</x:v>
      </x:c>
      <x:c r="C49" s="12" t="str">
        <x:v>Current</x:v>
      </x:c>
      <x:c r="D49" s="12" t="str">
        <x:v>en</x:v>
      </x:c>
      <x:c r="E49" s="12" t="str">
        <x:v>rider</x:v>
      </x:c>
      <x:c r="F49" s="12" t="str">
        <x:v>Other</x:v>
      </x:c>
      <x:c r="G49" s="12" t="str">
        <x:v>Visakhapatnam</x:v>
      </x:c>
      <x:c r="H49" s="12" t="str">
        <x:v>yes</x:v>
      </x:c>
      <x:c r="I49" s="12" t="str">
        <x:v>no</x:v>
      </x:c>
      <x:c r="J49" s="12" t="n">
        <x:v>0</x:v>
      </x:c>
      <x:c r="K49" s="13" t="str"/>
      <x:c r="L49" s="13" t="str"/>
      <x:c r="M49" s="13" t="str"/>
      <x:c r="N49" s="13" t="str"/>
      <x:c r="O49" s="13" t="str"/>
      <x:c r="P49" s="13" t="str"/>
      <x:c r="Q49" s="13" t="str"/>
      <x:c r="R49" s="13" t="str"/>
      <x:c r="S49" s="13" t="str"/>
      <x:c r="T49" s="13" t="str"/>
      <x:c r="U49" s="13" t="str"/>
      <x:c r="V49" s="13" t="str"/>
      <x:c r="W49" s="12" t="str">
        <x:v>No issue detail</x:v>
      </x:c>
      <x:c r="X49" s="12" t="n">
        <x:v>1</x:v>
      </x:c>
      <x:c r="Y49" s="12" t="n">
        <x:v>0</x:v>
      </x:c>
      <x:c r="Z49" s="12" t="n">
        <x:v>0</x:v>
      </x:c>
      <x:c r="AA49" s="12" t="n">
        <x:v>0</x:v>
      </x:c>
      <x:c r="AB49" s="12" t="n">
        <x:v>0</x:v>
      </x:c>
      <x:c r="AC49" s="12" t="n">
        <x:v>0</x:v>
      </x:c>
    </x:row>
    <x:row r="50">
      <x:c r="A50" s="10" t="str">
        <x:v>R055</x:v>
      </x:c>
      <x:c r="B50" s="11" t="n">
        <x:v>46282.25168288194</x:v>
      </x:c>
      <x:c r="C50" s="12" t="str">
        <x:v>Current</x:v>
      </x:c>
      <x:c r="D50" s="12" t="str">
        <x:v>en</x:v>
      </x:c>
      <x:c r="E50" s="12" t="str">
        <x:v>rider</x:v>
      </x:c>
      <x:c r="F50" s="12" t="str">
        <x:v>Other</x:v>
      </x:c>
      <x:c r="G50" s="12" t="str">
        <x:v>Mumbai</x:v>
      </x:c>
      <x:c r="H50" s="12" t="str">
        <x:v>notsure</x:v>
      </x:c>
      <x:c r="I50" s="12" t="str">
        <x:v>yes</x:v>
      </x:c>
      <x:c r="J50" s="12" t="n">
        <x:v>1</x:v>
      </x:c>
      <x:c r="K50" s="13" t="str">
        <x:v>At times it takes unusually long time and we book uber under normal belief that the ride will be available within 2-3 minutes but at times it takes 10-15 minutes</x:v>
      </x:c>
      <x:c r="L50" s="13" t="str">
        <x:v>Like in a busy area of Juhu Tara Road, I wouldn’t expect that it takes more than five minutes to get a ride</x:v>
      </x:c>
      <x:c r="M50" s="13" t="str"/>
      <x:c r="N50" s="13" t="str"/>
      <x:c r="O50" s="13" t="str">
        <x:v>other</x:v>
      </x:c>
      <x:c r="P50" s="13" t="str">
        <x:v>residential</x:v>
      </x:c>
      <x:c r="Q50" s="13" t="str">
        <x:v>waited</x:v>
      </x:c>
      <x:c r="R50" s="13" t="str"/>
      <x:c r="S50" s="13" t="str">
        <x:v>gt15</x:v>
      </x:c>
      <x:c r="T50" s="13" t="str">
        <x:v>other</x:v>
      </x:c>
      <x:c r="U50" s="13" t="str">
        <x:v>yes</x:v>
      </x:c>
      <x:c r="V50" s="13" t="str"/>
      <x:c r="W50" s="12" t="str">
        <x:v>Partial detailed</x:v>
      </x:c>
      <x:c r="X50" s="12" t="n">
        <x:v>0</x:v>
      </x:c>
      <x:c r="Y50" s="12" t="n">
        <x:v>0</x:v>
      </x:c>
      <x:c r="Z50" s="12" t="n">
        <x:v>1</x:v>
      </x:c>
      <x:c r="AA50" s="12" t="n">
        <x:v>1</x:v>
      </x:c>
      <x:c r="AB50" s="12" t="n">
        <x:v>0</x:v>
      </x:c>
      <x:c r="AC50" s="12" t="n">
        <x:v>0</x:v>
      </x:c>
    </x:row>
    <x:row r="51">
      <x:c r="A51" s="10" t="str">
        <x:v>R056</x:v>
      </x:c>
      <x:c r="B51" s="11" t="n">
        <x:v>46282.25619863426</x:v>
      </x:c>
      <x:c r="C51" s="12" t="str">
        <x:v>Current</x:v>
      </x:c>
      <x:c r="D51" s="12" t="str">
        <x:v>en</x:v>
      </x:c>
      <x:c r="E51" s="12" t="str">
        <x:v>rider</x:v>
      </x:c>
      <x:c r="F51" s="12" t="str">
        <x:v>Hyderabad</x:v>
      </x:c>
      <x:c r="G51" s="12" t="str">
        <x:v>Hyderabad</x:v>
      </x:c>
      <x:c r="H51" s="12" t="str">
        <x:v>yes</x:v>
      </x:c>
      <x:c r="I51" s="12" t="str">
        <x:v>no</x:v>
      </x:c>
      <x:c r="J51" s="12" t="n">
        <x:v>0</x:v>
      </x:c>
      <x:c r="K51" s="13" t="str"/>
      <x:c r="L51" s="13" t="str"/>
      <x:c r="M51" s="13" t="str"/>
      <x:c r="N51" s="13" t="str"/>
      <x:c r="O51" s="13" t="str"/>
      <x:c r="P51" s="13" t="str"/>
      <x:c r="Q51" s="13" t="str"/>
      <x:c r="R51" s="13" t="str"/>
      <x:c r="S51" s="13" t="str"/>
      <x:c r="T51" s="13" t="str"/>
      <x:c r="U51" s="13" t="str"/>
      <x:c r="V51" s="13" t="str"/>
      <x:c r="W51" s="12" t="str">
        <x:v>No issue detail</x:v>
      </x:c>
      <x:c r="X51" s="12" t="n">
        <x:v>1</x:v>
      </x:c>
      <x:c r="Y51" s="12" t="n">
        <x:v>1</x:v>
      </x:c>
      <x:c r="Z51" s="12" t="n">
        <x:v>0</x:v>
      </x:c>
      <x:c r="AA51" s="12" t="n">
        <x:v>0</x:v>
      </x:c>
      <x:c r="AB51" s="12" t="n">
        <x:v>0</x:v>
      </x:c>
      <x:c r="AC51" s="12" t="n">
        <x:v>0</x:v>
      </x:c>
    </x:row>
    <x:row r="52">
      <x:c r="A52" s="10" t="str">
        <x:v>R057</x:v>
      </x:c>
      <x:c r="B52" s="11" t="n">
        <x:v>46282.25798686343</x:v>
      </x:c>
      <x:c r="C52" s="12" t="str">
        <x:v>Current</x:v>
      </x:c>
      <x:c r="D52" s="12" t="str">
        <x:v>en</x:v>
      </x:c>
      <x:c r="E52" s="12" t="str">
        <x:v>rider</x:v>
      </x:c>
      <x:c r="F52" s="12" t="str">
        <x:v>Other</x:v>
      </x:c>
      <x:c r="G52" s="12" t="str">
        <x:v>Bangalore</x:v>
      </x:c>
      <x:c r="H52" s="12" t="str">
        <x:v>yes</x:v>
      </x:c>
      <x:c r="I52" s="12" t="str">
        <x:v>no</x:v>
      </x:c>
      <x:c r="J52" s="12" t="n">
        <x:v>0</x:v>
      </x:c>
      <x:c r="K52" s="13" t="str"/>
      <x:c r="L52" s="13" t="str"/>
      <x:c r="M52" s="13" t="str"/>
      <x:c r="N52" s="13" t="str"/>
      <x:c r="O52" s="13" t="str"/>
      <x:c r="P52" s="13" t="str"/>
      <x:c r="Q52" s="13" t="str"/>
      <x:c r="R52" s="13" t="str"/>
      <x:c r="S52" s="13" t="str"/>
      <x:c r="T52" s="13" t="str"/>
      <x:c r="U52" s="13" t="str"/>
      <x:c r="V52" s="13" t="str"/>
      <x:c r="W52" s="12" t="str">
        <x:v>No issue detail</x:v>
      </x:c>
      <x:c r="X52" s="12" t="n">
        <x:v>1</x:v>
      </x:c>
      <x:c r="Y52" s="12" t="n">
        <x:v>0</x:v>
      </x:c>
      <x:c r="Z52" s="12" t="n">
        <x:v>0</x:v>
      </x:c>
      <x:c r="AA52" s="12" t="n">
        <x:v>0</x:v>
      </x:c>
      <x:c r="AB52" s="12" t="n">
        <x:v>0</x:v>
      </x:c>
      <x:c r="AC52" s="12" t="n">
        <x:v>0</x:v>
      </x:c>
    </x:row>
    <x:row r="53">
      <x:c r="A53" s="10" t="str">
        <x:v>R058</x:v>
      </x:c>
      <x:c r="B53" s="11" t="n">
        <x:v>46282.26836410879</x:v>
      </x:c>
      <x:c r="C53" s="12" t="str">
        <x:v>Current</x:v>
      </x:c>
      <x:c r="D53" s="12" t="str">
        <x:v>en</x:v>
      </x:c>
      <x:c r="E53" s="12" t="str">
        <x:v>driver</x:v>
      </x:c>
      <x:c r="F53" s="12" t="str">
        <x:v>Other</x:v>
      </x:c>
      <x:c r="G53" s="12" t="str">
        <x:v>Other / not specified</x:v>
      </x:c>
      <x:c r="H53" s="12" t="str">
        <x:v>yes</x:v>
      </x:c>
      <x:c r="I53" s="12" t="str">
        <x:v>notsure</x:v>
      </x:c>
      <x:c r="J53" s="12" t="n">
        <x:v>1</x:v>
      </x:c>
      <x:c r="K53" s="13" t="str">
        <x:v>Good</x:v>
      </x:c>
      <x:c r="L53" s="13" t="str"/>
      <x:c r="M53" s="13" t="str"/>
      <x:c r="N53" s="13" t="str"/>
      <x:c r="O53" s="13" t="str">
        <x:v>pin_restricted, similar_gates</x:v>
      </x:c>
      <x:c r="P53" s="13" t="str">
        <x:v>airport, station, residential</x:v>
      </x:c>
      <x:c r="Q53" s="13" t="str">
        <x:v>called</x:v>
      </x:c>
      <x:c r="R53" s="13" t="str"/>
      <x:c r="S53" s="13" t="str">
        <x:v>lt2</x:v>
      </x:c>
      <x:c r="T53" s="13" t="str">
        <x:v>landmark</x:v>
      </x:c>
      <x:c r="U53" s="13" t="str">
        <x:v>no</x:v>
      </x:c>
      <x:c r="V53" s="13" t="str">
        <x:v>None</x:v>
      </x:c>
      <x:c r="W53" s="12" t="str">
        <x:v>Structured only</x:v>
      </x:c>
      <x:c r="X53" s="12" t="n">
        <x:v>1</x:v>
      </x:c>
      <x:c r="Y53" s="12" t="n">
        <x:v>0</x:v>
      </x:c>
      <x:c r="Z53" s="12" t="n">
        <x:v>0</x:v>
      </x:c>
      <x:c r="AA53" s="12" t="n">
        <x:v>1</x:v>
      </x:c>
      <x:c r="AB53" s="12" t="n">
        <x:v>0</x:v>
      </x:c>
      <x:c r="AC53" s="12" t="n">
        <x:v>0</x:v>
      </x:c>
    </x:row>
    <x:row r="54">
      <x:c r="A54" s="10" t="str">
        <x:v>R059</x:v>
      </x:c>
      <x:c r="B54" s="11" t="n">
        <x:v>46282.275743101854</x:v>
      </x:c>
      <x:c r="C54" s="12" t="str">
        <x:v>Current</x:v>
      </x:c>
      <x:c r="D54" s="12" t="str">
        <x:v>en</x:v>
      </x:c>
      <x:c r="E54" s="12" t="str">
        <x:v>rider</x:v>
      </x:c>
      <x:c r="F54" s="12" t="str">
        <x:v>Hyderabad</x:v>
      </x:c>
      <x:c r="G54" s="12" t="str">
        <x:v>Hyderabad</x:v>
      </x:c>
      <x:c r="H54" s="12" t="str">
        <x:v>yes</x:v>
      </x:c>
      <x:c r="I54" s="12" t="str">
        <x:v>no</x:v>
      </x:c>
      <x:c r="J54" s="12" t="n">
        <x:v>0</x:v>
      </x:c>
      <x:c r="K54" s="13" t="str"/>
      <x:c r="L54" s="13" t="str"/>
      <x:c r="M54" s="13" t="str"/>
      <x:c r="N54" s="13" t="str"/>
      <x:c r="O54" s="13" t="str"/>
      <x:c r="P54" s="13" t="str"/>
      <x:c r="Q54" s="13" t="str"/>
      <x:c r="R54" s="13" t="str"/>
      <x:c r="S54" s="13" t="str"/>
      <x:c r="T54" s="13" t="str"/>
      <x:c r="U54" s="13" t="str"/>
      <x:c r="V54" s="13" t="str"/>
      <x:c r="W54" s="12" t="str">
        <x:v>No issue detail</x:v>
      </x:c>
      <x:c r="X54" s="12" t="n">
        <x:v>1</x:v>
      </x:c>
      <x:c r="Y54" s="12" t="n">
        <x:v>1</x:v>
      </x:c>
      <x:c r="Z54" s="12" t="n">
        <x:v>0</x:v>
      </x:c>
      <x:c r="AA54" s="12" t="n">
        <x:v>0</x:v>
      </x:c>
      <x:c r="AB54" s="12" t="n">
        <x:v>0</x:v>
      </x:c>
      <x:c r="AC54" s="12" t="n">
        <x:v>0</x:v>
      </x:c>
    </x:row>
    <x:row r="55">
      <x:c r="A55" s="10" t="str">
        <x:v>R060</x:v>
      </x:c>
      <x:c r="B55" s="11" t="n">
        <x:v>46282.29526900463</x:v>
      </x:c>
      <x:c r="C55" s="12" t="str">
        <x:v>Current</x:v>
      </x:c>
      <x:c r="D55" s="12" t="str">
        <x:v>en</x:v>
      </x:c>
      <x:c r="E55" s="12" t="str">
        <x:v>rider</x:v>
      </x:c>
      <x:c r="F55" s="12" t="str">
        <x:v>Other</x:v>
      </x:c>
      <x:c r="G55" s="12" t="str">
        <x:v>Other / not specified</x:v>
      </x:c>
      <x:c r="H55" s="12" t="str">
        <x:v>yes</x:v>
      </x:c>
      <x:c r="I55" s="12" t="str">
        <x:v>yes</x:v>
      </x:c>
      <x:c r="J55" s="12" t="n">
        <x:v>1</x:v>
      </x:c>
      <x:c r="K55" s="13" t="str">
        <x:v>Yes en number of times it was canceled</x:v>
      </x:c>
      <x:c r="L55" s="13" t="str">
        <x:v>When ride was booked and it was allocated to someone or picked by someone it should be done</x:v>
      </x:c>
      <x:c r="M55" s="13" t="str">
        <x:v>Every time they asking about drop location how much amount shows in app and your payment mode cash or Uber cash</x:v>
      </x:c>
      <x:c r="N55" s="13" t="str">
        <x:v>Slow driving when it booked to airport</x:v>
      </x:c>
      <x:c r="O55" s="13" t="str">
        <x:v>cancelled</x:v>
      </x:c>
      <x:c r="P55" s="13" t="str">
        <x:v>airport</x:v>
      </x:c>
      <x:c r="Q55" s="13" t="str">
        <x:v>messaged</x:v>
      </x:c>
      <x:c r="R55" s="13" t="str"/>
      <x:c r="S55" s="13" t="str">
        <x:v>lt2</x:v>
      </x:c>
      <x:c r="T55" s="13" t="str">
        <x:v>called_messaged</x:v>
      </x:c>
      <x:c r="U55" s="13" t="str">
        <x:v>yes</x:v>
      </x:c>
      <x:c r="V55" s="13" t="str">
        <x:v>Nothing</x:v>
      </x:c>
      <x:c r="W55" s="12" t="str">
        <x:v>Complete detailed</x:v>
      </x:c>
      <x:c r="X55" s="12" t="n">
        <x:v>1</x:v>
      </x:c>
      <x:c r="Y55" s="12" t="n">
        <x:v>0</x:v>
      </x:c>
      <x:c r="Z55" s="12" t="n">
        <x:v>0</x:v>
      </x:c>
      <x:c r="AA55" s="12" t="n">
        <x:v>1</x:v>
      </x:c>
      <x:c r="AB55" s="12" t="n">
        <x:v>1</x:v>
      </x:c>
      <x:c r="AC55" s="12" t="n">
        <x:v>1</x:v>
      </x:c>
    </x:row>
    <x:row r="56">
      <x:c r="A56" s="10" t="str">
        <x:v>R061</x:v>
      </x:c>
      <x:c r="B56" s="11" t="n">
        <x:v>46282.30467439815</x:v>
      </x:c>
      <x:c r="C56" s="12" t="str">
        <x:v>Current</x:v>
      </x:c>
      <x:c r="D56" s="12" t="str">
        <x:v>en</x:v>
      </x:c>
      <x:c r="E56" s="12" t="str">
        <x:v>rider</x:v>
      </x:c>
      <x:c r="F56" s="12" t="str">
        <x:v>Hyderabad</x:v>
      </x:c>
      <x:c r="G56" s="12" t="str">
        <x:v>Hyderabad</x:v>
      </x:c>
      <x:c r="H56" s="12" t="str">
        <x:v>no</x:v>
      </x:c>
      <x:c r="I56" s="12" t="str">
        <x:v>no</x:v>
      </x:c>
      <x:c r="J56" s="12" t="n">
        <x:v>0</x:v>
      </x:c>
      <x:c r="K56" s="13" t="str"/>
      <x:c r="L56" s="13" t="str"/>
      <x:c r="M56" s="13" t="str"/>
      <x:c r="N56" s="13" t="str"/>
      <x:c r="O56" s="13" t="str"/>
      <x:c r="P56" s="13" t="str"/>
      <x:c r="Q56" s="13" t="str"/>
      <x:c r="R56" s="13" t="str"/>
      <x:c r="S56" s="13" t="str"/>
      <x:c r="T56" s="13" t="str"/>
      <x:c r="U56" s="13" t="str"/>
      <x:c r="V56" s="13" t="str">
        <x:v>I always place a message on where i would stand with details</x:v>
      </x:c>
      <x:c r="W56" s="12" t="str">
        <x:v>Context only</x:v>
      </x:c>
      <x:c r="X56" s="12" t="n">
        <x:v>0</x:v>
      </x:c>
      <x:c r="Y56" s="12" t="n">
        <x:v>1</x:v>
      </x:c>
      <x:c r="Z56" s="12" t="n">
        <x:v>0</x:v>
      </x:c>
      <x:c r="AA56" s="12" t="n">
        <x:v>0</x:v>
      </x:c>
      <x:c r="AB56" s="12" t="n">
        <x:v>0</x:v>
      </x:c>
      <x:c r="AC56" s="12" t="n">
        <x:v>0</x:v>
      </x:c>
    </x:row>
    <x:row r="57">
      <x:c r="A57" s="10" t="str">
        <x:v>R062</x:v>
      </x:c>
      <x:c r="B57" s="11" t="n">
        <x:v>46282.34715475694</x:v>
      </x:c>
      <x:c r="C57" s="12" t="str">
        <x:v>Current</x:v>
      </x:c>
      <x:c r="D57" s="12" t="str">
        <x:v>en</x:v>
      </x:c>
      <x:c r="E57" s="12" t="str">
        <x:v>rider</x:v>
      </x:c>
      <x:c r="F57" s="12" t="str">
        <x:v>Hyderabad</x:v>
      </x:c>
      <x:c r="G57" s="12" t="str">
        <x:v>Hyderabad</x:v>
      </x:c>
      <x:c r="H57" s="12" t="str">
        <x:v>no</x:v>
      </x:c>
      <x:c r="I57" s="12" t="str">
        <x:v>no</x:v>
      </x:c>
      <x:c r="J57" s="12" t="n">
        <x:v>0</x:v>
      </x:c>
      <x:c r="K57" s="13" t="str"/>
      <x:c r="L57" s="13" t="str"/>
      <x:c r="M57" s="13" t="str"/>
      <x:c r="N57" s="13" t="str"/>
      <x:c r="O57" s="13" t="str"/>
      <x:c r="P57" s="13" t="str"/>
      <x:c r="Q57" s="13" t="str"/>
      <x:c r="R57" s="13" t="str"/>
      <x:c r="S57" s="13" t="str"/>
      <x:c r="T57" s="13" t="str"/>
      <x:c r="U57" s="13" t="str"/>
      <x:c r="V57" s="13" t="str"/>
      <x:c r="W57" s="12" t="str">
        <x:v>No issue detail</x:v>
      </x:c>
      <x:c r="X57" s="12" t="n">
        <x:v>0</x:v>
      </x:c>
      <x:c r="Y57" s="12" t="n">
        <x:v>1</x:v>
      </x:c>
      <x:c r="Z57" s="12" t="n">
        <x:v>0</x:v>
      </x:c>
      <x:c r="AA57" s="12" t="n">
        <x:v>0</x:v>
      </x:c>
      <x:c r="AB57" s="12" t="n">
        <x:v>0</x:v>
      </x:c>
      <x:c r="AC57" s="12" t="n">
        <x:v>0</x:v>
      </x:c>
    </x:row>
    <x:row r="58">
      <x:c r="A58" s="10" t="str">
        <x:v>R063</x:v>
      </x:c>
      <x:c r="B58" s="11" t="n">
        <x:v>46282.35340480324</x:v>
      </x:c>
      <x:c r="C58" s="12" t="str">
        <x:v>Current</x:v>
      </x:c>
      <x:c r="D58" s="12" t="str">
        <x:v>en</x:v>
      </x:c>
      <x:c r="E58" s="12" t="str">
        <x:v>rider</x:v>
      </x:c>
      <x:c r="F58" s="12" t="str">
        <x:v>Hyderabad</x:v>
      </x:c>
      <x:c r="G58" s="12" t="str">
        <x:v>Hyderabad</x:v>
      </x:c>
      <x:c r="H58" s="12" t="str">
        <x:v>yes</x:v>
      </x:c>
      <x:c r="I58" s="12" t="str">
        <x:v>yes</x:v>
      </x:c>
      <x:c r="J58" s="12" t="n">
        <x:v>1</x:v>
      </x:c>
      <x:c r="K58" s="13" t="str">
        <x:v>One month back</x:v>
      </x:c>
      <x:c r="L58" s="13" t="str">
        <x:v>He was delayed</x:v>
      </x:c>
      <x:c r="M58" s="13" t="str">
        <x:v>We talked to each other</x:v>
      </x:c>
      <x:c r="N58" s="13" t="str">
        <x:v>No clarity</x:v>
      </x:c>
      <x:c r="O58" s="13" t="str">
        <x:v>other</x:v>
      </x:c>
      <x:c r="P58" s="13" t="str">
        <x:v>airport</x:v>
      </x:c>
      <x:c r="Q58" s="13" t="str">
        <x:v>called</x:v>
      </x:c>
      <x:c r="R58" s="13" t="str"/>
      <x:c r="S58" s="13" t="str">
        <x:v>5to15</x:v>
      </x:c>
      <x:c r="T58" s="13" t="str">
        <x:v>called_messaged</x:v>
      </x:c>
      <x:c r="U58" s="13" t="str">
        <x:v>no</x:v>
      </x:c>
      <x:c r="V58" s="13" t="str"/>
      <x:c r="W58" s="12" t="str">
        <x:v>Complete brief</x:v>
      </x:c>
      <x:c r="X58" s="12" t="n">
        <x:v>1</x:v>
      </x:c>
      <x:c r="Y58" s="12" t="n">
        <x:v>1</x:v>
      </x:c>
      <x:c r="Z58" s="12" t="n">
        <x:v>1</x:v>
      </x:c>
      <x:c r="AA58" s="12" t="n">
        <x:v>1</x:v>
      </x:c>
      <x:c r="AB58" s="12" t="n">
        <x:v>1</x:v>
      </x:c>
      <x:c r="AC58" s="12" t="n">
        <x:v>0</x:v>
      </x:c>
    </x:row>
    <x:row r="59">
      <x:c r="A59" s="10" t="str">
        <x:v>R064</x:v>
      </x:c>
      <x:c r="B59" s="11" t="n">
        <x:v>46282.42643353009</x:v>
      </x:c>
      <x:c r="C59" s="12" t="str">
        <x:v>Current</x:v>
      </x:c>
      <x:c r="D59" s="12" t="str">
        <x:v>en</x:v>
      </x:c>
      <x:c r="E59" s="12" t="str">
        <x:v>rider</x:v>
      </x:c>
      <x:c r="F59" s="12" t="str">
        <x:v>Other</x:v>
      </x:c>
      <x:c r="G59" s="12" t="str">
        <x:v>Lucknow</x:v>
      </x:c>
      <x:c r="H59" s="12" t="str">
        <x:v>yes</x:v>
      </x:c>
      <x:c r="I59" s="12" t="str">
        <x:v>yes</x:v>
      </x:c>
      <x:c r="J59" s="12" t="n">
        <x:v>1</x:v>
      </x:c>
      <x:c r="K59" s="13" t="str">
        <x:v>Date i dont remember. The driver told he is coming n didnt turn up n cancelled finally</x:v>
      </x:c>
      <x:c r="L59" s="13" t="str">
        <x:v>Confusion from the moment driver was alloted . I thought he will come but he kept on keeping me waiting</x:v>
      </x:c>
      <x:c r="M59" s="13" t="str">
        <x:v>Spoke to him, he told he is coming n didnt, dont cancel, still didnt come</x:v>
      </x:c>
      <x:c r="N59" s="13" t="str">
        <x:v>No one to seek redressal or help</x:v>
      </x:c>
      <x:c r="O59" s="13" t="str">
        <x:v>cancelled</x:v>
      </x:c>
      <x:c r="P59" s="13" t="str">
        <x:v>airport</x:v>
      </x:c>
      <x:c r="Q59" s="13" t="str">
        <x:v>waited</x:v>
      </x:c>
      <x:c r="R59" s="13" t="str"/>
      <x:c r="S59" s="13" t="str">
        <x:v>gt15</x:v>
      </x:c>
      <x:c r="T59" s="13" t="str">
        <x:v>nothing</x:v>
      </x:c>
      <x:c r="U59" s="13" t="str">
        <x:v>yes</x:v>
      </x:c>
      <x:c r="V59" s="13" t="str">
        <x:v>Uber or Ola have no control over drivers. Grievance redressal has to b immediate</x:v>
      </x:c>
      <x:c r="W59" s="12" t="str">
        <x:v>Complete detailed</x:v>
      </x:c>
      <x:c r="X59" s="12" t="n">
        <x:v>1</x:v>
      </x:c>
      <x:c r="Y59" s="12" t="n">
        <x:v>0</x:v>
      </x:c>
      <x:c r="Z59" s="12" t="n">
        <x:v>1</x:v>
      </x:c>
      <x:c r="AA59" s="12" t="n">
        <x:v>1</x:v>
      </x:c>
      <x:c r="AB59" s="12" t="n">
        <x:v>1</x:v>
      </x:c>
      <x:c r="AC59" s="12" t="n">
        <x:v>1</x:v>
      </x:c>
    </x:row>
    <x:row r="60">
      <x:c r="A60" s="10" t="str">
        <x:v>R065</x:v>
      </x:c>
      <x:c r="B60" s="11" t="n">
        <x:v>46282.447343078704</x:v>
      </x:c>
      <x:c r="C60" s="12" t="str">
        <x:v>Current</x:v>
      </x:c>
      <x:c r="D60" s="12" t="str">
        <x:v>en</x:v>
      </x:c>
      <x:c r="E60" s="12" t="str">
        <x:v>rider</x:v>
      </x:c>
      <x:c r="F60" s="12" t="str">
        <x:v>Hyderabad</x:v>
      </x:c>
      <x:c r="G60" s="12" t="str">
        <x:v>Hyderabad</x:v>
      </x:c>
      <x:c r="H60" s="12" t="str">
        <x:v>yes</x:v>
      </x:c>
      <x:c r="I60" s="12" t="str">
        <x:v>no</x:v>
      </x:c>
      <x:c r="J60" s="12" t="n">
        <x:v>0</x:v>
      </x:c>
      <x:c r="K60" s="13" t="str"/>
      <x:c r="L60" s="13" t="str"/>
      <x:c r="M60" s="13" t="str"/>
      <x:c r="N60" s="13" t="str"/>
      <x:c r="O60" s="13" t="str"/>
      <x:c r="P60" s="13" t="str"/>
      <x:c r="Q60" s="13" t="str"/>
      <x:c r="R60" s="13" t="str"/>
      <x:c r="S60" s="13" t="str"/>
      <x:c r="T60" s="13" t="str"/>
      <x:c r="U60" s="13" t="str"/>
      <x:c r="V60" s="13" t="str">
        <x:v>As per my experience reduce wating time</x:v>
      </x:c>
      <x:c r="W60" s="12" t="str">
        <x:v>Context only</x:v>
      </x:c>
      <x:c r="X60" s="12" t="n">
        <x:v>1</x:v>
      </x:c>
      <x:c r="Y60" s="12" t="n">
        <x:v>1</x:v>
      </x:c>
      <x:c r="Z60" s="12" t="n">
        <x:v>0</x:v>
      </x:c>
      <x:c r="AA60" s="12" t="n">
        <x:v>0</x:v>
      </x:c>
      <x:c r="AB60" s="12" t="n">
        <x:v>0</x:v>
      </x:c>
      <x:c r="AC60" s="12" t="n">
        <x:v>0</x:v>
      </x:c>
    </x:row>
    <x:row r="61">
      <x:c r="A61" s="10" t="str">
        <x:v>R066</x:v>
      </x:c>
      <x:c r="B61" s="11" t="n">
        <x:v>46282.470619837964</x:v>
      </x:c>
      <x:c r="C61" s="12" t="str">
        <x:v>Current</x:v>
      </x:c>
      <x:c r="D61" s="12" t="str">
        <x:v>en</x:v>
      </x:c>
      <x:c r="E61" s="12" t="str">
        <x:v>rider</x:v>
      </x:c>
      <x:c r="F61" s="12" t="str">
        <x:v>Other</x:v>
      </x:c>
      <x:c r="G61" s="12" t="str">
        <x:v>Visakhapatnam</x:v>
      </x:c>
      <x:c r="H61" s="12" t="str">
        <x:v>yes</x:v>
      </x:c>
      <x:c r="I61" s="12" t="str">
        <x:v>no</x:v>
      </x:c>
      <x:c r="J61" s="12" t="n">
        <x:v>0</x:v>
      </x:c>
      <x:c r="K61" s="13" t="str"/>
      <x:c r="L61" s="13" t="str"/>
      <x:c r="M61" s="13" t="str"/>
      <x:c r="N61" s="13" t="str"/>
      <x:c r="O61" s="13" t="str"/>
      <x:c r="P61" s="13" t="str"/>
      <x:c r="Q61" s="13" t="str"/>
      <x:c r="R61" s="13" t="str"/>
      <x:c r="S61" s="13" t="str"/>
      <x:c r="T61" s="13" t="str"/>
      <x:c r="U61" s="13" t="str"/>
      <x:c r="V61" s="13" t="str"/>
      <x:c r="W61" s="12" t="str">
        <x:v>No issue detail</x:v>
      </x:c>
      <x:c r="X61" s="12" t="n">
        <x:v>1</x:v>
      </x:c>
      <x:c r="Y61" s="12" t="n">
        <x:v>0</x:v>
      </x:c>
      <x:c r="Z61" s="12" t="n">
        <x:v>0</x:v>
      </x:c>
      <x:c r="AA61" s="12" t="n">
        <x:v>0</x:v>
      </x:c>
      <x:c r="AB61" s="12" t="n">
        <x:v>0</x:v>
      </x:c>
      <x:c r="AC61" s="12" t="n">
        <x:v>0</x:v>
      </x:c>
    </x:row>
    <x:row r="62">
      <x:c r="A62" s="10" t="str">
        <x:v>R067</x:v>
      </x:c>
      <x:c r="B62" s="11" t="n">
        <x:v>46282.472829976854</x:v>
      </x:c>
      <x:c r="C62" s="12" t="str">
        <x:v>Current</x:v>
      </x:c>
      <x:c r="D62" s="12" t="str">
        <x:v>en</x:v>
      </x:c>
      <x:c r="E62" s="12" t="str">
        <x:v>rider</x:v>
      </x:c>
      <x:c r="F62" s="12" t="str">
        <x:v>Other</x:v>
      </x:c>
      <x:c r="G62" s="12" t="str">
        <x:v>Ernakulam</x:v>
      </x:c>
      <x:c r="H62" s="12" t="str">
        <x:v>yes</x:v>
      </x:c>
      <x:c r="I62" s="12" t="str">
        <x:v>yes</x:v>
      </x:c>
      <x:c r="J62" s="12" t="n">
        <x:v>1</x:v>
      </x:c>
      <x:c r="K62" s="13" t="str">
        <x:v>12th sept evening around 5.15pm from palarivattom to Elamakkara it took more than 10 minutes to capture the attn of driver , even though he was passing up snd down on cross road junction.</x:v>
      </x:c>
      <x:c r="L62" s="13" t="str">
        <x:v>The aap says he has arrived, but almost 10 minutes to locate each other</x:v>
      </x:c>
      <x:c r="M62" s="13" t="str">
        <x:v>We said 'hi, and got in</x:v>
      </x:c>
      <x:c r="N62" s="13" t="str">
        <x:v>Generally the driver cancels trip without no prior indication</x:v>
      </x:c>
      <x:c r="O62" s="13" t="str">
        <x:v>similar_gates</x:v>
      </x:c>
      <x:c r="P62" s="13" t="str">
        <x:v>street</x:v>
      </x:c>
      <x:c r="Q62" s="13" t="str">
        <x:v>called, moved, waited</x:v>
      </x:c>
      <x:c r="R62" s="13" t="str"/>
      <x:c r="S62" s="13" t="str">
        <x:v>5to15</x:v>
      </x:c>
      <x:c r="T62" s="13" t="str">
        <x:v>called_messaged</x:v>
      </x:c>
      <x:c r="U62" s="13" t="str">
        <x:v>yes</x:v>
      </x:c>
      <x:c r="V62" s="13" t="str"/>
      <x:c r="W62" s="12" t="str">
        <x:v>Complete detailed</x:v>
      </x:c>
      <x:c r="X62" s="12" t="n">
        <x:v>1</x:v>
      </x:c>
      <x:c r="Y62" s="12" t="n">
        <x:v>0</x:v>
      </x:c>
      <x:c r="Z62" s="12" t="n">
        <x:v>1</x:v>
      </x:c>
      <x:c r="AA62" s="12" t="n">
        <x:v>1</x:v>
      </x:c>
      <x:c r="AB62" s="12" t="n">
        <x:v>1</x:v>
      </x:c>
      <x:c r="AC62" s="12" t="n">
        <x:v>1</x:v>
      </x:c>
    </x:row>
    <x:row r="63">
      <x:c r="A63" s="10" t="str">
        <x:v>R068</x:v>
      </x:c>
      <x:c r="B63" s="11" t="n">
        <x:v>46282.50891619213</x:v>
      </x:c>
      <x:c r="C63" s="12" t="str">
        <x:v>Current</x:v>
      </x:c>
      <x:c r="D63" s="12" t="str">
        <x:v>en</x:v>
      </x:c>
      <x:c r="E63" s="12" t="str">
        <x:v>rider</x:v>
      </x:c>
      <x:c r="F63" s="12" t="str">
        <x:v>Other</x:v>
      </x:c>
      <x:c r="G63" s="12" t="str">
        <x:v>Chandigarh</x:v>
      </x:c>
      <x:c r="H63" s="12" t="str">
        <x:v>no</x:v>
      </x:c>
      <x:c r="I63" s="12" t="str">
        <x:v>no</x:v>
      </x:c>
      <x:c r="J63" s="12" t="n">
        <x:v>0</x:v>
      </x:c>
      <x:c r="K63" s="13" t="str"/>
      <x:c r="L63" s="13" t="str"/>
      <x:c r="M63" s="13" t="str"/>
      <x:c r="N63" s="13" t="str"/>
      <x:c r="O63" s="13" t="str"/>
      <x:c r="P63" s="13" t="str"/>
      <x:c r="Q63" s="13" t="str"/>
      <x:c r="R63" s="13" t="str"/>
      <x:c r="S63" s="13" t="str"/>
      <x:c r="T63" s="13" t="str"/>
      <x:c r="U63" s="13" t="str"/>
      <x:c r="V63" s="13" t="str">
        <x:v>No</x:v>
      </x:c>
      <x:c r="W63" s="12" t="str">
        <x:v>No issue detail</x:v>
      </x:c>
      <x:c r="X63" s="12" t="n">
        <x:v>0</x:v>
      </x:c>
      <x:c r="Y63" s="12" t="n">
        <x:v>0</x:v>
      </x:c>
      <x:c r="Z63" s="12" t="n">
        <x:v>0</x:v>
      </x:c>
      <x:c r="AA63" s="12" t="n">
        <x:v>0</x:v>
      </x:c>
      <x:c r="AB63" s="12" t="n">
        <x:v>0</x:v>
      </x:c>
      <x:c r="AC63" s="12" t="n">
        <x:v>0</x:v>
      </x:c>
    </x:row>
  </x:sheetData>
  <x:pageMargins left="0.7" right="0.7" top="0.75" bottom="0.75" header="0.3" footer="0.3"/>
  <x:tableParts count="1">
    <x:tablePart xmlns:r="http://schemas.openxmlformats.org/officeDocument/2006/relationships" r:id="Rdbfae6777e3040e2"/>
  </x:tableParts>
</x:worksheet>
</file>

<file path=xl/worksheets/sheet3.xml><?xml version="1.0" encoding="utf-8"?>
<x:worksheet xmlns:x="http://schemas.openxmlformats.org/spreadsheetml/2006/main">
  <x:sheetPr>
    <x:tabColor rgb="FFFF6B00"/>
  </x:sheetPr>
  <x:sheetViews>
    <x:sheetView showGridLines="0" workbookViewId="0"/>
  </x:sheetViews>
  <x:sheetFormatPr defaultRowHeight="15"/>
  <x:cols>
    <x:col min="1" max="1" width="28" hidden="0" customWidth="1"/>
    <x:col min="2" max="2" width="92" hidden="0" customWidth="1"/>
    <x:col min="3" max="3" width="3" hidden="0" customWidth="1"/>
    <x:col min="4" max="4" width="3" hidden="0" customWidth="1"/>
    <x:col min="5" max="5" width="3" hidden="0" customWidth="1"/>
    <x:col min="6" max="6" width="3" hidden="0" customWidth="1"/>
  </x:cols>
  <x:sheetData>
    <x:row r="2">
      <x:c r="A2" s="14" t="str">
        <x:v>Survey method, app evidence, and limitations</x:v>
      </x:c>
      <x:c r="B2" s="14"/>
      <x:c r="C2" s="14"/>
      <x:c r="D2" s="14"/>
      <x:c r="E2" s="14"/>
      <x:c r="F2" s="14"/>
    </x:row>
    <x:row r="3">
      <x:c r="A3" s="16"/>
      <x:c r="B3" s="16"/>
      <x:c r="C3" s="16"/>
      <x:c r="D3" s="16"/>
      <x:c r="E3" s="16"/>
      <x:c r="F3" s="16"/>
    </x:row>
    <x:row r="5">
      <x:c r="A5" s="22" t="str">
        <x:v>Method item</x:v>
      </x:c>
      <x:c r="B5" s="22" t="str">
        <x:v>Documented detail</x:v>
      </x:c>
    </x:row>
    <x:row r="6" ht="38" customHeight="1">
      <x:c r="A6" s="47" t="str">
        <x:v>Research method</x:v>
      </x:c>
      <x:c r="B6" s="48" t="str">
        <x:v>Self-serve online survey with interview-style prompts; not synchronous interviews</x:v>
      </x:c>
    </x:row>
    <x:row r="7" ht="38" customHeight="1">
      <x:c r="A7" s="47" t="str">
        <x:v>Live survey URL</x:v>
      </x:c>
      <x:c r="B7" s="48" t="str">
        <x:v>https://praveenveera.github.io/uber-pickup-survey/</x:v>
      </x:c>
    </x:row>
    <x:row r="8" ht="38" customHeight="1">
      <x:c r="A8" s="47" t="str">
        <x:v>Languages</x:v>
      </x:c>
      <x:c r="B8" s="48" t="str">
        <x:v>English, Telugu, and Hindi interface</x:v>
      </x:c>
    </x:row>
    <x:row r="9" ht="38" customHeight="1">
      <x:c r="A9" s="47" t="str">
        <x:v>Flow</x:v>
      </x:c>
      <x:c r="B9" s="48" t="str">
        <x:v>Up to 17 steps with rider and driver branches</x:v>
      </x:c>
    </x:row>
    <x:row r="10" ht="38" customHeight="1">
      <x:c r="A10" s="47" t="str">
        <x:v>Qualitative prompts</x:v>
      </x:c>
      <x:c r="B10" s="48" t="str">
        <x:v>Four open-text or voice prompts on the difficulty path; the live UI labels them optional</x:v>
      </x:c>
    </x:row>
    <x:row r="11" ht="38" customHeight="1">
      <x:c r="A11" s="47" t="str">
        <x:v>Structured tags</x:v>
      </x:c>
      <x:c r="B11" s="48" t="str">
        <x:v>Problem, location, action, delay, what helped, and recurrence</x:v>
      </x:c>
    </x:row>
    <x:row r="12" ht="38" customHeight="1">
      <x:c r="A12" s="47" t="str">
        <x:v>Consent</x:v>
      </x:c>
      <x:c r="B12" s="48" t="str">
        <x:v>Consent-gated UI for anonymous quote use; consent was not stored as a separate backend field</x:v>
      </x:c>
    </x:row>
    <x:row r="13" ht="38" customHeight="1">
      <x:c r="A13" s="47" t="str">
        <x:v>Data capture</x:v>
      </x:c>
      <x:c r="B13" s="48" t="str">
        <x:v>Timestamped submissions to Google Apps Script and Google Sheets</x:v>
      </x:c>
    </x:row>
    <x:row r="14" ht="38" customHeight="1">
      <x:c r="A14" s="47" t="str">
        <x:v>Privacy</x:v>
      </x:c>
      <x:c r="B14" s="48" t="str">
        <x:v>Contact field and raw payload excluded from this workbook</x:v>
      </x:c>
    </x:row>
    <x:row r="15" ht="38" customHeight="1">
      <x:c r="A15" s="47" t="str">
        <x:v>Deduplication</x:v>
      </x:c>
      <x:c r="B15" s="48" t="str">
        <x:v>R032 removed as a confirmed duplicate of R031: identical text, city, and 9-second interval</x:v>
      </x:c>
    </x:row>
    <x:row r="16" ht="38" customHeight="1">
      <x:c r="A16" s="49"/>
      <x:c r="B16" s="49"/>
    </x:row>
    <x:row r="17" ht="38" customHeight="1">
      <x:c r="A17" s="49"/>
      <x:c r="B17" s="49"/>
    </x:row>
    <x:row r="18" ht="38" customHeight="1">
      <x:c r="A18" s="22" t="str">
        <x:v>Limitation</x:v>
      </x:c>
      <x:c r="B18" s="22" t="str">
        <x:v>Submission treatment</x:v>
      </x:c>
    </x:row>
    <x:row r="19" ht="38" customHeight="1">
      <x:c r="A19" s="50" t="str">
        <x:v>Interview requirement not met</x:v>
      </x:c>
      <x:c r="B19" s="48" t="str">
        <x:v>State clearly; do not call survey records interviews</x:v>
      </x:c>
    </x:row>
    <x:row r="20" ht="38" customHeight="1">
      <x:c r="A20" s="50" t="str">
        <x:v>Convenience sample</x:v>
      </x:c>
      <x:c r="B20" s="48" t="str">
        <x:v>Do not generalize to Hyderabad prevalence</x:v>
      </x:c>
    </x:row>
    <x:row r="21" ht="38" customHeight="1">
      <x:c r="A21" s="50" t="str">
        <x:v>Driver evidence</x:v>
      </x:c>
      <x:c r="B21" s="48" t="str">
        <x:v>4 of 62 responses; no driver-wide product conclusion</x:v>
      </x:c>
    </x:row>
    <x:row r="22" ht="38" customHeight="1">
      <x:c r="A22" s="50" t="str">
        <x:v>Other-city comparison</x:v>
      </x:c>
      <x:c r="B22" s="48" t="str">
        <x:v>29 of 62 responses; not a small side sample</x:v>
      </x:c>
    </x:row>
    <x:row r="23" ht="38" customHeight="1">
      <x:c r="A23" s="50" t="str">
        <x:v>Asynchronous form</x:v>
      </x:c>
      <x:c r="B23" s="48" t="str">
        <x:v>No real-time probing of vague or contradictory answers</x:v>
      </x:c>
    </x:row>
    <x:row r="24" ht="38" customHeight="1">
      <x:c r="A24" s="50" t="str">
        <x:v>Open prompts optional</x:v>
      </x:c>
      <x:c r="B24" s="48" t="str">
        <x:v>Qualitative depth varies; only a subset completed detailed narratives</x:v>
      </x:c>
    </x:row>
    <x:row r="25" ht="38" customHeight="1">
      <x:c r="A25" s="50" t="str">
        <x:v>Schema changed during collection</x:v>
      </x:c>
      <x:c r="B25" s="48" t="str">
        <x:v>Earlier records have less qualitative detail</x:v>
      </x:c>
    </x:row>
    <x:row r="26" ht="38" customHeight="1">
      <x:c r="A26" s="50" t="str">
        <x:v>No persisted consent flag</x:v>
      </x:c>
      <x:c r="B26" s="48" t="str">
        <x:v>Use the consent-screen screenshot as app evidence, not row-level consent proof</x:v>
      </x:c>
    </x:row>
    <x:row r="27" ht="38" customHeight="1">
      <x:c r="A27" s="50" t="str">
        <x:v>Market sizing</x:v>
      </x:c>
      <x:c r="B27" s="48" t="str">
        <x:v>No reliable Hyderabad trip-volume or issue-rate denominator found</x:v>
      </x:c>
    </x:row>
  </x:sheetData>
  <x:mergeCells>
    <x:mergeCell ref="A2:F2"/>
  </x:mergeCells>
  <x:pageMargins left="0.7" right="0.7" top="0.75" bottom="0.75" header="0.3" footer="0.3"/>
</x:worksheet>
</file>

<file path=xl/worksheets/sheet4.xml><?xml version="1.0" encoding="utf-8"?>
<x:worksheet xmlns:x="http://schemas.openxmlformats.org/spreadsheetml/2006/main">
  <x:sheetPr>
    <x:tabColor rgb="FFF4A340"/>
  </x:sheetPr>
  <x:sheetViews>
    <x:sheetView showGridLines="0" workbookViewId="0">
      <x:pane ySplit="5" topLeftCell="A6" activePane="bottomLeft" state="frozen"/>
    </x:sheetView>
  </x:sheetViews>
  <x:sheetFormatPr defaultRowHeight="15"/>
  <x:cols>
    <x:col min="1" max="1" width="6" hidden="0" customWidth="1"/>
    <x:col min="2" max="2" width="36" hidden="0" customWidth="1"/>
    <x:col min="3" max="3" width="42" hidden="0" customWidth="1"/>
    <x:col min="4" max="4" width="58" hidden="0" customWidth="1"/>
    <x:col min="5" max="5" width="22" hidden="0" customWidth="1"/>
  </x:cols>
  <x:sheetData>
    <x:row r="2">
      <x:c r="A2" s="14" t="str">
        <x:v>Top 10 insights — claim, evidence, quote, and strength</x:v>
      </x:c>
      <x:c r="B2" s="14"/>
      <x:c r="C2" s="14"/>
      <x:c r="D2" s="14"/>
      <x:c r="E2" s="14"/>
    </x:row>
    <x:row r="3">
      <x:c r="A3" s="16"/>
      <x:c r="B3" s="16"/>
      <x:c r="C3" s="16"/>
      <x:c r="D3" s="16"/>
      <x:c r="E3" s="16"/>
    </x:row>
    <x:row r="5">
      <x:c r="A5" s="44" t="str">
        <x:v>#</x:v>
      </x:c>
      <x:c r="B5" s="44" t="str">
        <x:v>Insight</x:v>
      </x:c>
      <x:c r="C5" s="44" t="str">
        <x:v>Evidence</x:v>
      </x:c>
      <x:c r="D5" s="44" t="str">
        <x:v>Anonymized quote</x:v>
      </x:c>
      <x:c r="E5" s="44" t="str">
        <x:v>Strength</x:v>
      </x:c>
    </x:row>
    <x:row r="6" ht="48" customHeight="1">
      <x:c r="A6" s="48" t="n">
        <x:v>1</x:v>
      </x:c>
      <x:c r="B6" s="48" t="str">
        <x:v>Difficulty is meaningful, not universal</x:v>
      </x:c>
      <x:c r="C6" s="48" t="str">
        <x:v>24/51 recent four-wheel users; 34/62 reported no issue</x:v>
      </x:c>
      <x:c r="D6" s="48" t="str">
        <x:v>“On the whole the experience is good. Exceptions will always be there.” — R030</x:v>
      </x:c>
      <x:c r="E6" s="50" t="str">
        <x:v>Strong, directional</x:v>
      </x:c>
    </x:row>
    <x:row r="7" ht="48" customHeight="1">
      <x:c r="A7" s="48" t="n">
        <x:v>2</x:v>
      </x:c>
      <x:c r="B7" s="48" t="str">
        <x:v>For affected respondents, the problem often recurs</x:v>
      </x:c>
      <x:c r="C7" s="48" t="str">
        <x:v>23/28 issue cases reported prior occurrence</x:v>
      </x:c>
      <x:c r="D7" s="48" t="str">
        <x:v>“During rains… many cancellations based on the drop point.” — R047</x:v>
      </x:c>
      <x:c r="E7" s="50" t="str">
        <x:v>Strong within subgroup</x:v>
      </x:c>
    </x:row>
    <x:row r="8" ht="48" customHeight="1">
      <x:c r="A8" s="48" t="n">
        <x:v>3</x:v>
      </x:c>
      <x:c r="B8" s="48" t="str">
        <x:v>Complex environments concentrate problems</x:v>
      </x:c>
      <x:c r="C8" s="48" t="str">
        <x:v>Airport 10; residential 7; mall 6; office 6 mentions</x:v>
      </x:c>
      <x:c r="D8" s="48" t="str">
        <x:v>“No clarity.” — R063</x:v>
      </x:c>
      <x:c r="E8" s="50" t="str">
        <x:v>Strong pattern</x:v>
      </x:c>
    </x:row>
    <x:row r="9" ht="48" customHeight="1">
      <x:c r="A9" s="48" t="n">
        <x:v>4</x:v>
      </x:c>
      <x:c r="B9" s="48" t="str">
        <x:v>Arrived does not mean rider and driver can meet</x:v>
      </x:c>
      <x:c r="C9" s="48" t="str">
        <x:v>Wrong-pin and similar-gate reports; one detailed cross-road case</x:v>
      </x:c>
      <x:c r="D9" s="48" t="str">
        <x:v>“The app says he has arrived, but almost 10 minutes to locate each other.” — R067</x:v>
      </x:c>
      <x:c r="E9" s="50" t="str">
        <x:v>Moderate</x:v>
      </x:c>
    </x:row>
    <x:row r="10" ht="48" customHeight="1">
      <x:c r="A10" s="48" t="n">
        <x:v>5</x:v>
      </x:c>
      <x:c r="B10" s="48" t="str">
        <x:v>Calling and messaging are the main recovery layer</x:v>
      </x:c>
      <x:c r="C10" s="48" t="str">
        <x:v>Calling 17; messaging 5; call/message helpful in 20/28 cases</x:v>
      </x:c>
      <x:c r="D10" s="48" t="str">
        <x:v>“We talked to each other.” — R063</x:v>
      </x:c>
      <x:c r="E10" s="50" t="str">
        <x:v>Strong</x:v>
      </x:c>
    </x:row>
    <x:row r="11" ht="48" customHeight="1">
      <x:c r="A11" s="48" t="n">
        <x:v>6</x:v>
      </x:c>
      <x:c r="B11" s="48" t="str">
        <x:v>The rider often absorbs recovery effort</x:v>
      </x:c>
      <x:c r="C11" s="48" t="str">
        <x:v>Waited 9; moved 8; driver moved helped 3</x:v>
      </x:c>
      <x:c r="D11" s="48" t="str">
        <x:v>“I thought he will come but he kept on keeping me waiting.” — R064</x:v>
      </x:c>
      <x:c r="E11" s="50" t="str">
        <x:v>Moderate–strong</x:v>
      </x:c>
    </x:row>
    <x:row r="12" ht="48" customHeight="1">
      <x:c r="A12" s="48" t="n">
        <x:v>7</x:v>
      </x:c>
      <x:c r="B12" s="48" t="str">
        <x:v>Failures can create material delay</x:v>
      </x:c>
      <x:c r="C12" s="48" t="str">
        <x:v>7/10 time-tagged issue records exceeded five minutes</x:v>
      </x:c>
      <x:c r="D12" s="48" t="str">
        <x:v>“At times it takes 10–15 minutes.” — R055</x:v>
      </x:c>
      <x:c r="E12" s="50" t="str">
        <x:v>Moderate</x:v>
      </x:c>
    </x:row>
    <x:row r="13" ht="48" customHeight="1">
      <x:c r="A13" s="48" t="n">
        <x:v>8</x:v>
      </x:c>
      <x:c r="B13" s="48" t="str">
        <x:v>Cancellation is multi-causal</x:v>
      </x:c>
      <x:c r="C13" s="48" t="str">
        <x:v>Location overlaps with destination, fare, payment, rain, and slow approach</x:v>
      </x:c>
      <x:c r="D13" s="48" t="str">
        <x:v>“Then based on the location he cancels.” — R047</x:v>
      </x:c>
      <x:c r="E13" s="50" t="str">
        <x:v>Moderate</x:v>
      </x:c>
    </x:row>
    <x:row r="14" ht="48" customHeight="1">
      <x:c r="A14" s="48" t="n">
        <x:v>9</x:v>
      </x:c>
      <x:c r="B14" s="48" t="str">
        <x:v>Some respondents found no effective recovery</x:v>
      </x:c>
      <x:c r="C14" s="48" t="str">
        <x:v>6/28 selected nothing helped</x:v>
      </x:c>
      <x:c r="D14" s="48" t="str">
        <x:v>“No one to seek redressal or help.” — R064</x:v>
      </x:c>
      <x:c r="E14" s="50" t="str">
        <x:v>Moderate</x:v>
      </x:c>
    </x:row>
    <x:row r="15" ht="48" customHeight="1">
      <x:c r="A15" s="48" t="n">
        <x:v>10</x:v>
      </x:c>
      <x:c r="B15" s="48" t="str">
        <x:v>Finding the ride includes vehicle identification</x:v>
      </x:c>
      <x:c r="C15" s="48" t="str">
        <x:v>One vehicle-number mismatch report</x:v>
      </x:c>
      <x:c r="D15" s="48" t="str">
        <x:v>“The number of the vehicle… is different.” — R018</x:v>
      </x:c>
      <x:c r="E15" s="50" t="str">
        <x:v>Weak edge case</x:v>
      </x:c>
    </x:row>
  </x:sheetData>
  <x:mergeCells>
    <x:mergeCell ref="A2:E2"/>
  </x:mergeCells>
  <x:pageMargins left="0.7" right="0.7" top="0.75" bottom="0.75" header="0.3" footer="0.3"/>
</x:worksheet>
</file>